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34830\Desktop\"/>
    </mc:Choice>
  </mc:AlternateContent>
  <xr:revisionPtr revIDLastSave="0" documentId="13_ncr:1_{0E789308-8256-4F63-903E-E13825D3072F}" xr6:coauthVersionLast="47" xr6:coauthVersionMax="47" xr10:uidLastSave="{00000000-0000-0000-0000-000000000000}"/>
  <bookViews>
    <workbookView xWindow="-120" yWindow="-120" windowWidth="29040" windowHeight="17520" xr2:uid="{4EB27348-E1AD-46EF-9A25-2EA7AF95396E}"/>
  </bookViews>
  <sheets>
    <sheet name="保齡球分數統計" sheetId="2" r:id="rId1"/>
    <sheet name="圖表" sheetId="4" r:id="rId2"/>
    <sheet name="保齡球計分模式_ver1.00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23" i="4" l="1"/>
  <c r="G183" i="4"/>
  <c r="J689" i="4"/>
  <c r="G689" i="4"/>
  <c r="F689" i="4"/>
  <c r="J688" i="4"/>
  <c r="G688" i="4"/>
  <c r="F688" i="4"/>
  <c r="J687" i="4"/>
  <c r="G687" i="4"/>
  <c r="F687" i="4"/>
  <c r="J686" i="4"/>
  <c r="G686" i="4"/>
  <c r="F686" i="4"/>
  <c r="J685" i="4"/>
  <c r="G685" i="4"/>
  <c r="F685" i="4"/>
  <c r="J684" i="4"/>
  <c r="G684" i="4"/>
  <c r="F684" i="4"/>
  <c r="E684" i="4"/>
  <c r="J683" i="4"/>
  <c r="G683" i="4"/>
  <c r="F683" i="4"/>
  <c r="E683" i="4"/>
  <c r="J682" i="4"/>
  <c r="G682" i="4"/>
  <c r="F682" i="4"/>
  <c r="E682" i="4"/>
  <c r="J681" i="4"/>
  <c r="G681" i="4"/>
  <c r="F681" i="4"/>
  <c r="E681" i="4"/>
  <c r="J680" i="4"/>
  <c r="G680" i="4"/>
  <c r="F680" i="4"/>
  <c r="E680" i="4"/>
  <c r="J679" i="4"/>
  <c r="I679" i="4"/>
  <c r="G679" i="4"/>
  <c r="F679" i="4"/>
  <c r="J678" i="4"/>
  <c r="I678" i="4"/>
  <c r="G678" i="4"/>
  <c r="F678" i="4"/>
  <c r="J677" i="4"/>
  <c r="I677" i="4"/>
  <c r="G677" i="4"/>
  <c r="F677" i="4"/>
  <c r="J676" i="4"/>
  <c r="I676" i="4"/>
  <c r="G676" i="4"/>
  <c r="F676" i="4"/>
  <c r="J675" i="4"/>
  <c r="I675" i="4"/>
  <c r="G675" i="4"/>
  <c r="F675" i="4"/>
  <c r="I968" i="2"/>
  <c r="I967" i="2"/>
  <c r="H968" i="2"/>
  <c r="H967" i="2"/>
  <c r="E968" i="2"/>
  <c r="E967" i="2"/>
  <c r="D968" i="2"/>
  <c r="D967" i="2"/>
  <c r="J958" i="2"/>
  <c r="J959" i="2" s="1"/>
  <c r="I958" i="2"/>
  <c r="I959" i="2" s="1"/>
  <c r="H958" i="2"/>
  <c r="H959" i="2" s="1"/>
  <c r="G958" i="2"/>
  <c r="G959" i="2" s="1"/>
  <c r="F958" i="2"/>
  <c r="F959" i="2" s="1"/>
  <c r="E958" i="2"/>
  <c r="E959" i="2" s="1"/>
  <c r="D958" i="2"/>
  <c r="D959" i="2" s="1"/>
  <c r="J951" i="2"/>
  <c r="J952" i="2" s="1"/>
  <c r="I951" i="2"/>
  <c r="I952" i="2" s="1"/>
  <c r="H951" i="2"/>
  <c r="H952" i="2" s="1"/>
  <c r="G951" i="2"/>
  <c r="G952" i="2" s="1"/>
  <c r="F951" i="2"/>
  <c r="F952" i="2" s="1"/>
  <c r="E951" i="2"/>
  <c r="E952" i="2" s="1"/>
  <c r="D951" i="2"/>
  <c r="D952" i="2" s="1"/>
  <c r="J944" i="2"/>
  <c r="J945" i="2" s="1"/>
  <c r="I944" i="2"/>
  <c r="I945" i="2" s="1"/>
  <c r="H944" i="2"/>
  <c r="H945" i="2" s="1"/>
  <c r="G944" i="2"/>
  <c r="G945" i="2" s="1"/>
  <c r="F944" i="2"/>
  <c r="F945" i="2" s="1"/>
  <c r="E944" i="2"/>
  <c r="E945" i="2" s="1"/>
  <c r="D944" i="2"/>
  <c r="D945" i="2" s="1"/>
  <c r="J674" i="4"/>
  <c r="G674" i="4"/>
  <c r="F674" i="4"/>
  <c r="E674" i="4"/>
  <c r="J673" i="4"/>
  <c r="G673" i="4"/>
  <c r="F673" i="4"/>
  <c r="E673" i="4"/>
  <c r="J672" i="4"/>
  <c r="G672" i="4"/>
  <c r="F672" i="4"/>
  <c r="E672" i="4"/>
  <c r="J671" i="4"/>
  <c r="G671" i="4"/>
  <c r="F671" i="4"/>
  <c r="E671" i="4"/>
  <c r="J670" i="4"/>
  <c r="G670" i="4"/>
  <c r="F670" i="4"/>
  <c r="E670" i="4"/>
  <c r="J669" i="4"/>
  <c r="I669" i="4"/>
  <c r="G669" i="4"/>
  <c r="F669" i="4"/>
  <c r="J668" i="4"/>
  <c r="I668" i="4"/>
  <c r="G668" i="4"/>
  <c r="F668" i="4"/>
  <c r="J667" i="4"/>
  <c r="I667" i="4"/>
  <c r="G667" i="4"/>
  <c r="F667" i="4"/>
  <c r="J666" i="4"/>
  <c r="I666" i="4"/>
  <c r="G666" i="4"/>
  <c r="F666" i="4"/>
  <c r="J665" i="4"/>
  <c r="I665" i="4"/>
  <c r="G665" i="4"/>
  <c r="F665" i="4"/>
  <c r="J664" i="4"/>
  <c r="G664" i="4"/>
  <c r="F664" i="4"/>
  <c r="J663" i="4"/>
  <c r="G663" i="4"/>
  <c r="F663" i="4"/>
  <c r="J662" i="4"/>
  <c r="G662" i="4"/>
  <c r="F662" i="4"/>
  <c r="J661" i="4"/>
  <c r="G661" i="4"/>
  <c r="F661" i="4"/>
  <c r="J660" i="4"/>
  <c r="G660" i="4"/>
  <c r="F660" i="4"/>
  <c r="J937" i="2"/>
  <c r="J938" i="2" s="1"/>
  <c r="I937" i="2"/>
  <c r="I938" i="2" s="1"/>
  <c r="H937" i="2"/>
  <c r="H938" i="2" s="1"/>
  <c r="G937" i="2"/>
  <c r="G938" i="2" s="1"/>
  <c r="F937" i="2"/>
  <c r="F938" i="2" s="1"/>
  <c r="E937" i="2"/>
  <c r="E938" i="2" s="1"/>
  <c r="D937" i="2"/>
  <c r="D938" i="2" s="1"/>
  <c r="J930" i="2"/>
  <c r="J931" i="2" s="1"/>
  <c r="I930" i="2"/>
  <c r="I931" i="2" s="1"/>
  <c r="H930" i="2"/>
  <c r="H931" i="2" s="1"/>
  <c r="G930" i="2"/>
  <c r="G931" i="2" s="1"/>
  <c r="F930" i="2"/>
  <c r="F931" i="2" s="1"/>
  <c r="E930" i="2"/>
  <c r="E931" i="2" s="1"/>
  <c r="D930" i="2"/>
  <c r="D931" i="2" s="1"/>
  <c r="J923" i="2"/>
  <c r="J924" i="2" s="1"/>
  <c r="I923" i="2"/>
  <c r="I924" i="2" s="1"/>
  <c r="H923" i="2"/>
  <c r="H924" i="2" s="1"/>
  <c r="G923" i="2"/>
  <c r="G924" i="2" s="1"/>
  <c r="F923" i="2"/>
  <c r="F924" i="2" s="1"/>
  <c r="E923" i="2"/>
  <c r="E924" i="2" s="1"/>
  <c r="D923" i="2"/>
  <c r="D924" i="2" s="1"/>
  <c r="J659" i="4"/>
  <c r="G659" i="4"/>
  <c r="J658" i="4"/>
  <c r="G658" i="4"/>
  <c r="F658" i="4"/>
  <c r="J657" i="4"/>
  <c r="G657" i="4"/>
  <c r="F657" i="4"/>
  <c r="J656" i="4"/>
  <c r="G656" i="4"/>
  <c r="F656" i="4"/>
  <c r="J655" i="4"/>
  <c r="G655" i="4"/>
  <c r="F655" i="4"/>
  <c r="J916" i="2"/>
  <c r="J917" i="2" s="1"/>
  <c r="I916" i="2"/>
  <c r="I917" i="2" s="1"/>
  <c r="H916" i="2"/>
  <c r="H917" i="2" s="1"/>
  <c r="G916" i="2"/>
  <c r="G917" i="2" s="1"/>
  <c r="F916" i="2"/>
  <c r="F917" i="2" s="1"/>
  <c r="E916" i="2"/>
  <c r="E917" i="2" s="1"/>
  <c r="D916" i="2"/>
  <c r="D917" i="2" s="1"/>
  <c r="J654" i="4"/>
  <c r="G654" i="4"/>
  <c r="F654" i="4"/>
  <c r="E654" i="4"/>
  <c r="J653" i="4"/>
  <c r="G653" i="4"/>
  <c r="F653" i="4"/>
  <c r="E653" i="4"/>
  <c r="J652" i="4"/>
  <c r="G652" i="4"/>
  <c r="F652" i="4"/>
  <c r="E652" i="4"/>
  <c r="J651" i="4"/>
  <c r="G651" i="4"/>
  <c r="F651" i="4"/>
  <c r="E651" i="4"/>
  <c r="J650" i="4"/>
  <c r="G650" i="4"/>
  <c r="F650" i="4"/>
  <c r="E650" i="4"/>
  <c r="J649" i="4"/>
  <c r="I649" i="4"/>
  <c r="G649" i="4"/>
  <c r="F649" i="4"/>
  <c r="D649" i="4"/>
  <c r="J648" i="4"/>
  <c r="I648" i="4"/>
  <c r="G648" i="4"/>
  <c r="F648" i="4"/>
  <c r="D648" i="4"/>
  <c r="J647" i="4"/>
  <c r="I647" i="4"/>
  <c r="G647" i="4"/>
  <c r="F647" i="4"/>
  <c r="D647" i="4"/>
  <c r="J646" i="4"/>
  <c r="I646" i="4"/>
  <c r="G646" i="4"/>
  <c r="F646" i="4"/>
  <c r="D646" i="4"/>
  <c r="J645" i="4"/>
  <c r="I645" i="4"/>
  <c r="G645" i="4"/>
  <c r="F645" i="4"/>
  <c r="D645" i="4"/>
  <c r="J644" i="4"/>
  <c r="I644" i="4"/>
  <c r="G644" i="4"/>
  <c r="F644" i="4"/>
  <c r="D644" i="4"/>
  <c r="J643" i="4"/>
  <c r="I643" i="4"/>
  <c r="G643" i="4"/>
  <c r="F643" i="4"/>
  <c r="D643" i="4"/>
  <c r="J642" i="4"/>
  <c r="I642" i="4"/>
  <c r="G642" i="4"/>
  <c r="F642" i="4"/>
  <c r="D642" i="4"/>
  <c r="J641" i="4"/>
  <c r="I641" i="4"/>
  <c r="G641" i="4"/>
  <c r="F641" i="4"/>
  <c r="D641" i="4"/>
  <c r="J640" i="4"/>
  <c r="I640" i="4"/>
  <c r="G640" i="4"/>
  <c r="F640" i="4"/>
  <c r="D640" i="4"/>
  <c r="J639" i="4"/>
  <c r="G639" i="4"/>
  <c r="F639" i="4"/>
  <c r="E639" i="4"/>
  <c r="J638" i="4"/>
  <c r="G638" i="4"/>
  <c r="F638" i="4"/>
  <c r="E638" i="4"/>
  <c r="J637" i="4"/>
  <c r="G637" i="4"/>
  <c r="F637" i="4"/>
  <c r="E637" i="4"/>
  <c r="J636" i="4"/>
  <c r="G636" i="4"/>
  <c r="F636" i="4"/>
  <c r="E636" i="4"/>
  <c r="J635" i="4"/>
  <c r="G635" i="4"/>
  <c r="F635" i="4"/>
  <c r="E635" i="4"/>
  <c r="J634" i="4"/>
  <c r="I634" i="4"/>
  <c r="G634" i="4"/>
  <c r="F634" i="4"/>
  <c r="E634" i="4"/>
  <c r="J633" i="4"/>
  <c r="I633" i="4"/>
  <c r="G633" i="4"/>
  <c r="F633" i="4"/>
  <c r="E633" i="4"/>
  <c r="J632" i="4"/>
  <c r="I632" i="4"/>
  <c r="G632" i="4"/>
  <c r="F632" i="4"/>
  <c r="E632" i="4"/>
  <c r="J631" i="4"/>
  <c r="I631" i="4"/>
  <c r="G631" i="4"/>
  <c r="F631" i="4"/>
  <c r="E631" i="4"/>
  <c r="J630" i="4"/>
  <c r="I630" i="4"/>
  <c r="G630" i="4"/>
  <c r="F630" i="4"/>
  <c r="E630" i="4"/>
  <c r="J629" i="4"/>
  <c r="G629" i="4"/>
  <c r="F629" i="4"/>
  <c r="J628" i="4"/>
  <c r="G628" i="4"/>
  <c r="F628" i="4"/>
  <c r="J627" i="4"/>
  <c r="G627" i="4"/>
  <c r="F627" i="4"/>
  <c r="J626" i="4"/>
  <c r="G626" i="4"/>
  <c r="F626" i="4"/>
  <c r="J625" i="4"/>
  <c r="G625" i="4"/>
  <c r="F625" i="4"/>
  <c r="J624" i="4"/>
  <c r="G624" i="4"/>
  <c r="F624" i="4"/>
  <c r="E624" i="4"/>
  <c r="J623" i="4"/>
  <c r="G623" i="4"/>
  <c r="F623" i="4"/>
  <c r="E623" i="4"/>
  <c r="J622" i="4"/>
  <c r="G622" i="4"/>
  <c r="F622" i="4"/>
  <c r="E622" i="4"/>
  <c r="J621" i="4"/>
  <c r="G621" i="4"/>
  <c r="F621" i="4"/>
  <c r="E621" i="4"/>
  <c r="J620" i="4"/>
  <c r="G620" i="4"/>
  <c r="F620" i="4"/>
  <c r="E620" i="4"/>
  <c r="J619" i="4"/>
  <c r="G619" i="4"/>
  <c r="F619" i="4"/>
  <c r="J618" i="4"/>
  <c r="G618" i="4"/>
  <c r="F618" i="4"/>
  <c r="J617" i="4"/>
  <c r="G617" i="4"/>
  <c r="F617" i="4"/>
  <c r="J616" i="4"/>
  <c r="G616" i="4"/>
  <c r="F616" i="4"/>
  <c r="J615" i="4"/>
  <c r="G615" i="4"/>
  <c r="F615" i="4"/>
  <c r="J614" i="4"/>
  <c r="G614" i="4"/>
  <c r="F614" i="4"/>
  <c r="J613" i="4"/>
  <c r="G613" i="4"/>
  <c r="F613" i="4"/>
  <c r="J612" i="4"/>
  <c r="G612" i="4"/>
  <c r="F612" i="4"/>
  <c r="J611" i="4"/>
  <c r="G611" i="4"/>
  <c r="F611" i="4"/>
  <c r="J610" i="4"/>
  <c r="G610" i="4"/>
  <c r="F610" i="4"/>
  <c r="J609" i="4"/>
  <c r="G609" i="4"/>
  <c r="F609" i="4"/>
  <c r="E609" i="4"/>
  <c r="J608" i="4"/>
  <c r="G608" i="4"/>
  <c r="F608" i="4"/>
  <c r="E608" i="4"/>
  <c r="J607" i="4"/>
  <c r="G607" i="4"/>
  <c r="F607" i="4"/>
  <c r="E607" i="4"/>
  <c r="J606" i="4"/>
  <c r="G606" i="4"/>
  <c r="F606" i="4"/>
  <c r="E606" i="4"/>
  <c r="J605" i="4"/>
  <c r="G605" i="4"/>
  <c r="F605" i="4"/>
  <c r="E605" i="4"/>
  <c r="J604" i="4"/>
  <c r="I604" i="4"/>
  <c r="G604" i="4"/>
  <c r="F604" i="4"/>
  <c r="J603" i="4"/>
  <c r="I603" i="4"/>
  <c r="G603" i="4"/>
  <c r="F603" i="4"/>
  <c r="J602" i="4"/>
  <c r="I602" i="4"/>
  <c r="G602" i="4"/>
  <c r="F602" i="4"/>
  <c r="J601" i="4"/>
  <c r="I601" i="4"/>
  <c r="G601" i="4"/>
  <c r="F601" i="4"/>
  <c r="J600" i="4"/>
  <c r="I600" i="4"/>
  <c r="G600" i="4"/>
  <c r="F600" i="4"/>
  <c r="J599" i="4"/>
  <c r="I599" i="4"/>
  <c r="G599" i="4"/>
  <c r="F599" i="4"/>
  <c r="E599" i="4"/>
  <c r="J598" i="4"/>
  <c r="I598" i="4"/>
  <c r="G598" i="4"/>
  <c r="F598" i="4"/>
  <c r="E598" i="4"/>
  <c r="J597" i="4"/>
  <c r="I597" i="4"/>
  <c r="G597" i="4"/>
  <c r="F597" i="4"/>
  <c r="E597" i="4"/>
  <c r="J596" i="4"/>
  <c r="I596" i="4"/>
  <c r="G596" i="4"/>
  <c r="F596" i="4"/>
  <c r="E596" i="4"/>
  <c r="J595" i="4"/>
  <c r="I595" i="4"/>
  <c r="G595" i="4"/>
  <c r="F595" i="4"/>
  <c r="E595" i="4"/>
  <c r="J594" i="4"/>
  <c r="I594" i="4"/>
  <c r="G594" i="4"/>
  <c r="F594" i="4"/>
  <c r="J593" i="4"/>
  <c r="I593" i="4"/>
  <c r="G593" i="4"/>
  <c r="F593" i="4"/>
  <c r="J592" i="4"/>
  <c r="I592" i="4"/>
  <c r="G592" i="4"/>
  <c r="F592" i="4"/>
  <c r="J591" i="4"/>
  <c r="I591" i="4"/>
  <c r="G591" i="4"/>
  <c r="F591" i="4"/>
  <c r="J590" i="4"/>
  <c r="I590" i="4"/>
  <c r="G590" i="4"/>
  <c r="F590" i="4"/>
  <c r="J589" i="4"/>
  <c r="G589" i="4"/>
  <c r="F589" i="4"/>
  <c r="J588" i="4"/>
  <c r="G588" i="4"/>
  <c r="F588" i="4"/>
  <c r="J587" i="4"/>
  <c r="G587" i="4"/>
  <c r="F587" i="4"/>
  <c r="J586" i="4"/>
  <c r="G586" i="4"/>
  <c r="F586" i="4"/>
  <c r="J585" i="4"/>
  <c r="G585" i="4"/>
  <c r="F585" i="4"/>
  <c r="J584" i="4"/>
  <c r="G584" i="4"/>
  <c r="F584" i="4"/>
  <c r="J583" i="4"/>
  <c r="G583" i="4"/>
  <c r="F583" i="4"/>
  <c r="J582" i="4"/>
  <c r="G582" i="4"/>
  <c r="F582" i="4"/>
  <c r="J581" i="4"/>
  <c r="G581" i="4"/>
  <c r="F581" i="4"/>
  <c r="J580" i="4"/>
  <c r="G580" i="4"/>
  <c r="F580" i="4"/>
  <c r="J579" i="4"/>
  <c r="G579" i="4"/>
  <c r="F579" i="4"/>
  <c r="J578" i="4"/>
  <c r="G578" i="4"/>
  <c r="F578" i="4"/>
  <c r="J577" i="4"/>
  <c r="G577" i="4"/>
  <c r="F577" i="4"/>
  <c r="J576" i="4"/>
  <c r="G576" i="4"/>
  <c r="F576" i="4"/>
  <c r="J575" i="4"/>
  <c r="G575" i="4"/>
  <c r="F575" i="4"/>
  <c r="J574" i="4"/>
  <c r="I574" i="4"/>
  <c r="G574" i="4"/>
  <c r="F574" i="4"/>
  <c r="E574" i="4"/>
  <c r="J573" i="4"/>
  <c r="I573" i="4"/>
  <c r="G573" i="4"/>
  <c r="F573" i="4"/>
  <c r="E573" i="4"/>
  <c r="J572" i="4"/>
  <c r="I572" i="4"/>
  <c r="G572" i="4"/>
  <c r="F572" i="4"/>
  <c r="E572" i="4"/>
  <c r="J571" i="4"/>
  <c r="I571" i="4"/>
  <c r="G571" i="4"/>
  <c r="F571" i="4"/>
  <c r="E571" i="4"/>
  <c r="J570" i="4"/>
  <c r="I570" i="4"/>
  <c r="G570" i="4"/>
  <c r="F570" i="4"/>
  <c r="E570" i="4"/>
  <c r="J569" i="4"/>
  <c r="G569" i="4"/>
  <c r="F569" i="4"/>
  <c r="J568" i="4"/>
  <c r="G568" i="4"/>
  <c r="F568" i="4"/>
  <c r="J567" i="4"/>
  <c r="G567" i="4"/>
  <c r="F567" i="4"/>
  <c r="J566" i="4"/>
  <c r="G566" i="4"/>
  <c r="F566" i="4"/>
  <c r="J565" i="4"/>
  <c r="G565" i="4"/>
  <c r="F565" i="4"/>
  <c r="J564" i="4"/>
  <c r="I564" i="4"/>
  <c r="G564" i="4"/>
  <c r="F564" i="4"/>
  <c r="E564" i="4"/>
  <c r="J563" i="4"/>
  <c r="I563" i="4"/>
  <c r="G563" i="4"/>
  <c r="F563" i="4"/>
  <c r="E563" i="4"/>
  <c r="J562" i="4"/>
  <c r="I562" i="4"/>
  <c r="G562" i="4"/>
  <c r="F562" i="4"/>
  <c r="E562" i="4"/>
  <c r="J561" i="4"/>
  <c r="I561" i="4"/>
  <c r="G561" i="4"/>
  <c r="F561" i="4"/>
  <c r="E561" i="4"/>
  <c r="J560" i="4"/>
  <c r="I560" i="4"/>
  <c r="G560" i="4"/>
  <c r="F560" i="4"/>
  <c r="E560" i="4"/>
  <c r="J559" i="4"/>
  <c r="I559" i="4"/>
  <c r="H559" i="4"/>
  <c r="G559" i="4"/>
  <c r="F559" i="4"/>
  <c r="D559" i="4"/>
  <c r="J558" i="4"/>
  <c r="I558" i="4"/>
  <c r="H558" i="4"/>
  <c r="G558" i="4"/>
  <c r="F558" i="4"/>
  <c r="D558" i="4"/>
  <c r="J557" i="4"/>
  <c r="I557" i="4"/>
  <c r="H557" i="4"/>
  <c r="G557" i="4"/>
  <c r="F557" i="4"/>
  <c r="D557" i="4"/>
  <c r="J556" i="4"/>
  <c r="I556" i="4"/>
  <c r="H556" i="4"/>
  <c r="G556" i="4"/>
  <c r="F556" i="4"/>
  <c r="D556" i="4"/>
  <c r="J555" i="4"/>
  <c r="I555" i="4"/>
  <c r="H555" i="4"/>
  <c r="G555" i="4"/>
  <c r="F555" i="4"/>
  <c r="D555" i="4"/>
  <c r="J554" i="4"/>
  <c r="I554" i="4"/>
  <c r="H554" i="4"/>
  <c r="G554" i="4"/>
  <c r="F554" i="4"/>
  <c r="E554" i="4"/>
  <c r="J553" i="4"/>
  <c r="I553" i="4"/>
  <c r="H553" i="4"/>
  <c r="G553" i="4"/>
  <c r="F553" i="4"/>
  <c r="E553" i="4"/>
  <c r="J552" i="4"/>
  <c r="I552" i="4"/>
  <c r="H552" i="4"/>
  <c r="G552" i="4"/>
  <c r="F552" i="4"/>
  <c r="E552" i="4"/>
  <c r="J551" i="4"/>
  <c r="I551" i="4"/>
  <c r="H551" i="4"/>
  <c r="G551" i="4"/>
  <c r="F551" i="4"/>
  <c r="E551" i="4"/>
  <c r="J550" i="4"/>
  <c r="I550" i="4"/>
  <c r="H550" i="4"/>
  <c r="G550" i="4"/>
  <c r="F550" i="4"/>
  <c r="E550" i="4"/>
  <c r="J549" i="4"/>
  <c r="I549" i="4"/>
  <c r="G549" i="4"/>
  <c r="F549" i="4"/>
  <c r="E549" i="4"/>
  <c r="J548" i="4"/>
  <c r="I548" i="4"/>
  <c r="G548" i="4"/>
  <c r="F548" i="4"/>
  <c r="E548" i="4"/>
  <c r="J547" i="4"/>
  <c r="I547" i="4"/>
  <c r="G547" i="4"/>
  <c r="F547" i="4"/>
  <c r="E547" i="4"/>
  <c r="J546" i="4"/>
  <c r="I546" i="4"/>
  <c r="G546" i="4"/>
  <c r="F546" i="4"/>
  <c r="E546" i="4"/>
  <c r="J545" i="4"/>
  <c r="I545" i="4"/>
  <c r="G545" i="4"/>
  <c r="F545" i="4"/>
  <c r="E545" i="4"/>
  <c r="J544" i="4"/>
  <c r="I544" i="4"/>
  <c r="H544" i="4"/>
  <c r="G544" i="4"/>
  <c r="F544" i="4"/>
  <c r="E544" i="4"/>
  <c r="J543" i="4"/>
  <c r="I543" i="4"/>
  <c r="H543" i="4"/>
  <c r="G543" i="4"/>
  <c r="F543" i="4"/>
  <c r="E543" i="4"/>
  <c r="J542" i="4"/>
  <c r="I542" i="4"/>
  <c r="H542" i="4"/>
  <c r="G542" i="4"/>
  <c r="F542" i="4"/>
  <c r="E542" i="4"/>
  <c r="J541" i="4"/>
  <c r="I541" i="4"/>
  <c r="H541" i="4"/>
  <c r="G541" i="4"/>
  <c r="F541" i="4"/>
  <c r="E541" i="4"/>
  <c r="J540" i="4"/>
  <c r="I540" i="4"/>
  <c r="H540" i="4"/>
  <c r="G540" i="4"/>
  <c r="F540" i="4"/>
  <c r="E540" i="4"/>
  <c r="J539" i="4"/>
  <c r="G539" i="4"/>
  <c r="F539" i="4"/>
  <c r="J538" i="4"/>
  <c r="G538" i="4"/>
  <c r="F538" i="4"/>
  <c r="J537" i="4"/>
  <c r="G537" i="4"/>
  <c r="F537" i="4"/>
  <c r="J536" i="4"/>
  <c r="G536" i="4"/>
  <c r="F536" i="4"/>
  <c r="J535" i="4"/>
  <c r="G535" i="4"/>
  <c r="F535" i="4"/>
  <c r="J534" i="4"/>
  <c r="I534" i="4"/>
  <c r="G534" i="4"/>
  <c r="F534" i="4"/>
  <c r="E534" i="4"/>
  <c r="J533" i="4"/>
  <c r="I533" i="4"/>
  <c r="G533" i="4"/>
  <c r="F533" i="4"/>
  <c r="E533" i="4"/>
  <c r="J532" i="4"/>
  <c r="I532" i="4"/>
  <c r="G532" i="4"/>
  <c r="F532" i="4"/>
  <c r="E532" i="4"/>
  <c r="J531" i="4"/>
  <c r="I531" i="4"/>
  <c r="G531" i="4"/>
  <c r="F531" i="4"/>
  <c r="E531" i="4"/>
  <c r="J530" i="4"/>
  <c r="I530" i="4"/>
  <c r="G530" i="4"/>
  <c r="F530" i="4"/>
  <c r="E530" i="4"/>
  <c r="J529" i="4"/>
  <c r="G529" i="4"/>
  <c r="F529" i="4"/>
  <c r="E529" i="4"/>
  <c r="J528" i="4"/>
  <c r="G528" i="4"/>
  <c r="F528" i="4"/>
  <c r="E528" i="4"/>
  <c r="J527" i="4"/>
  <c r="G527" i="4"/>
  <c r="F527" i="4"/>
  <c r="E527" i="4"/>
  <c r="J526" i="4"/>
  <c r="G526" i="4"/>
  <c r="F526" i="4"/>
  <c r="E526" i="4"/>
  <c r="J525" i="4"/>
  <c r="G525" i="4"/>
  <c r="F525" i="4"/>
  <c r="E525" i="4"/>
  <c r="J524" i="4"/>
  <c r="G524" i="4"/>
  <c r="F524" i="4"/>
  <c r="J523" i="4"/>
  <c r="G523" i="4"/>
  <c r="F523" i="4"/>
  <c r="J522" i="4"/>
  <c r="G522" i="4"/>
  <c r="F522" i="4"/>
  <c r="J521" i="4"/>
  <c r="G521" i="4"/>
  <c r="F521" i="4"/>
  <c r="J520" i="4"/>
  <c r="G520" i="4"/>
  <c r="F520" i="4"/>
  <c r="J519" i="4"/>
  <c r="G519" i="4"/>
  <c r="F519" i="4"/>
  <c r="J518" i="4"/>
  <c r="G518" i="4"/>
  <c r="F518" i="4"/>
  <c r="J517" i="4"/>
  <c r="G517" i="4"/>
  <c r="F517" i="4"/>
  <c r="J516" i="4"/>
  <c r="G516" i="4"/>
  <c r="F516" i="4"/>
  <c r="J515" i="4"/>
  <c r="G515" i="4"/>
  <c r="F515" i="4"/>
  <c r="G514" i="4"/>
  <c r="F514" i="4"/>
  <c r="G513" i="4"/>
  <c r="F513" i="4"/>
  <c r="G512" i="4"/>
  <c r="F512" i="4"/>
  <c r="G511" i="4"/>
  <c r="F511" i="4"/>
  <c r="G510" i="4"/>
  <c r="F510" i="4"/>
  <c r="J509" i="4"/>
  <c r="G509" i="4"/>
  <c r="F509" i="4"/>
  <c r="J508" i="4"/>
  <c r="G508" i="4"/>
  <c r="F508" i="4"/>
  <c r="J507" i="4"/>
  <c r="G507" i="4"/>
  <c r="F507" i="4"/>
  <c r="J506" i="4"/>
  <c r="G506" i="4"/>
  <c r="F506" i="4"/>
  <c r="J505" i="4"/>
  <c r="G505" i="4"/>
  <c r="F505" i="4"/>
  <c r="J504" i="4"/>
  <c r="I504" i="4"/>
  <c r="G504" i="4"/>
  <c r="F504" i="4"/>
  <c r="E504" i="4"/>
  <c r="J503" i="4"/>
  <c r="I503" i="4"/>
  <c r="G503" i="4"/>
  <c r="F503" i="4"/>
  <c r="E503" i="4"/>
  <c r="J502" i="4"/>
  <c r="I502" i="4"/>
  <c r="G502" i="4"/>
  <c r="F502" i="4"/>
  <c r="E502" i="4"/>
  <c r="J501" i="4"/>
  <c r="I501" i="4"/>
  <c r="G501" i="4"/>
  <c r="F501" i="4"/>
  <c r="E501" i="4"/>
  <c r="J500" i="4"/>
  <c r="I500" i="4"/>
  <c r="G500" i="4"/>
  <c r="F500" i="4"/>
  <c r="E500" i="4"/>
  <c r="J499" i="4"/>
  <c r="I499" i="4"/>
  <c r="G499" i="4"/>
  <c r="F499" i="4"/>
  <c r="E499" i="4"/>
  <c r="J498" i="4"/>
  <c r="I498" i="4"/>
  <c r="G498" i="4"/>
  <c r="F498" i="4"/>
  <c r="E498" i="4"/>
  <c r="J497" i="4"/>
  <c r="I497" i="4"/>
  <c r="G497" i="4"/>
  <c r="F497" i="4"/>
  <c r="E497" i="4"/>
  <c r="J496" i="4"/>
  <c r="I496" i="4"/>
  <c r="G496" i="4"/>
  <c r="F496" i="4"/>
  <c r="E496" i="4"/>
  <c r="J495" i="4"/>
  <c r="I495" i="4"/>
  <c r="G495" i="4"/>
  <c r="F495" i="4"/>
  <c r="E495" i="4"/>
  <c r="J494" i="4"/>
  <c r="G494" i="4"/>
  <c r="F494" i="4"/>
  <c r="J493" i="4"/>
  <c r="G493" i="4"/>
  <c r="F493" i="4"/>
  <c r="J492" i="4"/>
  <c r="G492" i="4"/>
  <c r="F492" i="4"/>
  <c r="J491" i="4"/>
  <c r="G491" i="4"/>
  <c r="F491" i="4"/>
  <c r="J490" i="4"/>
  <c r="G490" i="4"/>
  <c r="F490" i="4"/>
  <c r="J489" i="4"/>
  <c r="G489" i="4"/>
  <c r="F489" i="4"/>
  <c r="D489" i="4"/>
  <c r="J488" i="4"/>
  <c r="G488" i="4"/>
  <c r="F488" i="4"/>
  <c r="D488" i="4"/>
  <c r="J487" i="4"/>
  <c r="G487" i="4"/>
  <c r="F487" i="4"/>
  <c r="D487" i="4"/>
  <c r="J486" i="4"/>
  <c r="G486" i="4"/>
  <c r="F486" i="4"/>
  <c r="D486" i="4"/>
  <c r="J485" i="4"/>
  <c r="G485" i="4"/>
  <c r="F485" i="4"/>
  <c r="D485" i="4"/>
  <c r="J484" i="4"/>
  <c r="I484" i="4"/>
  <c r="H484" i="4"/>
  <c r="G484" i="4"/>
  <c r="F484" i="4"/>
  <c r="J483" i="4"/>
  <c r="I483" i="4"/>
  <c r="H483" i="4"/>
  <c r="G483" i="4"/>
  <c r="F483" i="4"/>
  <c r="J482" i="4"/>
  <c r="I482" i="4"/>
  <c r="H482" i="4"/>
  <c r="G482" i="4"/>
  <c r="F482" i="4"/>
  <c r="J481" i="4"/>
  <c r="I481" i="4"/>
  <c r="H481" i="4"/>
  <c r="G481" i="4"/>
  <c r="F481" i="4"/>
  <c r="J480" i="4"/>
  <c r="I480" i="4"/>
  <c r="H480" i="4"/>
  <c r="G480" i="4"/>
  <c r="F480" i="4"/>
  <c r="J479" i="4"/>
  <c r="H479" i="4"/>
  <c r="G479" i="4"/>
  <c r="F479" i="4"/>
  <c r="J478" i="4"/>
  <c r="H478" i="4"/>
  <c r="G478" i="4"/>
  <c r="F478" i="4"/>
  <c r="J477" i="4"/>
  <c r="H477" i="4"/>
  <c r="G477" i="4"/>
  <c r="F477" i="4"/>
  <c r="J476" i="4"/>
  <c r="H476" i="4"/>
  <c r="G476" i="4"/>
  <c r="F476" i="4"/>
  <c r="J475" i="4"/>
  <c r="H475" i="4"/>
  <c r="G475" i="4"/>
  <c r="F475" i="4"/>
  <c r="J474" i="4"/>
  <c r="I474" i="4"/>
  <c r="G474" i="4"/>
  <c r="F474" i="4"/>
  <c r="E474" i="4"/>
  <c r="J473" i="4"/>
  <c r="I473" i="4"/>
  <c r="G473" i="4"/>
  <c r="F473" i="4"/>
  <c r="E473" i="4"/>
  <c r="J472" i="4"/>
  <c r="I472" i="4"/>
  <c r="G472" i="4"/>
  <c r="F472" i="4"/>
  <c r="E472" i="4"/>
  <c r="J471" i="4"/>
  <c r="I471" i="4"/>
  <c r="G471" i="4"/>
  <c r="F471" i="4"/>
  <c r="E471" i="4"/>
  <c r="J470" i="4"/>
  <c r="I470" i="4"/>
  <c r="G470" i="4"/>
  <c r="F470" i="4"/>
  <c r="E470" i="4"/>
  <c r="J469" i="4"/>
  <c r="I469" i="4"/>
  <c r="H469" i="4"/>
  <c r="G469" i="4"/>
  <c r="F469" i="4"/>
  <c r="D469" i="4"/>
  <c r="J468" i="4"/>
  <c r="I468" i="4"/>
  <c r="H468" i="4"/>
  <c r="G468" i="4"/>
  <c r="F468" i="4"/>
  <c r="D468" i="4"/>
  <c r="J467" i="4"/>
  <c r="I467" i="4"/>
  <c r="H467" i="4"/>
  <c r="G467" i="4"/>
  <c r="F467" i="4"/>
  <c r="D467" i="4"/>
  <c r="J466" i="4"/>
  <c r="I466" i="4"/>
  <c r="H466" i="4"/>
  <c r="G466" i="4"/>
  <c r="F466" i="4"/>
  <c r="D466" i="4"/>
  <c r="J465" i="4"/>
  <c r="I465" i="4"/>
  <c r="H465" i="4"/>
  <c r="G465" i="4"/>
  <c r="F465" i="4"/>
  <c r="D465" i="4"/>
  <c r="J464" i="4"/>
  <c r="G464" i="4"/>
  <c r="F464" i="4"/>
  <c r="J463" i="4"/>
  <c r="G463" i="4"/>
  <c r="F463" i="4"/>
  <c r="J462" i="4"/>
  <c r="G462" i="4"/>
  <c r="F462" i="4"/>
  <c r="J461" i="4"/>
  <c r="G461" i="4"/>
  <c r="F461" i="4"/>
  <c r="J460" i="4"/>
  <c r="G460" i="4"/>
  <c r="F460" i="4"/>
  <c r="J459" i="4"/>
  <c r="I459" i="4"/>
  <c r="G459" i="4"/>
  <c r="F459" i="4"/>
  <c r="E459" i="4"/>
  <c r="J458" i="4"/>
  <c r="I458" i="4"/>
  <c r="G458" i="4"/>
  <c r="F458" i="4"/>
  <c r="E458" i="4"/>
  <c r="J457" i="4"/>
  <c r="I457" i="4"/>
  <c r="G457" i="4"/>
  <c r="F457" i="4"/>
  <c r="E457" i="4"/>
  <c r="J456" i="4"/>
  <c r="I456" i="4"/>
  <c r="G456" i="4"/>
  <c r="F456" i="4"/>
  <c r="E456" i="4"/>
  <c r="J455" i="4"/>
  <c r="I455" i="4"/>
  <c r="G455" i="4"/>
  <c r="F455" i="4"/>
  <c r="E455" i="4"/>
  <c r="J454" i="4"/>
  <c r="I454" i="4"/>
  <c r="G454" i="4"/>
  <c r="F454" i="4"/>
  <c r="E454" i="4"/>
  <c r="J453" i="4"/>
  <c r="I453" i="4"/>
  <c r="G453" i="4"/>
  <c r="F453" i="4"/>
  <c r="E453" i="4"/>
  <c r="J452" i="4"/>
  <c r="I452" i="4"/>
  <c r="G452" i="4"/>
  <c r="F452" i="4"/>
  <c r="E452" i="4"/>
  <c r="J451" i="4"/>
  <c r="I451" i="4"/>
  <c r="G451" i="4"/>
  <c r="F451" i="4"/>
  <c r="E451" i="4"/>
  <c r="J450" i="4"/>
  <c r="I450" i="4"/>
  <c r="G450" i="4"/>
  <c r="F450" i="4"/>
  <c r="E450" i="4"/>
  <c r="J449" i="4"/>
  <c r="G449" i="4"/>
  <c r="F449" i="4"/>
  <c r="J448" i="4"/>
  <c r="G448" i="4"/>
  <c r="F448" i="4"/>
  <c r="J447" i="4"/>
  <c r="G447" i="4"/>
  <c r="F447" i="4"/>
  <c r="J446" i="4"/>
  <c r="G446" i="4"/>
  <c r="F446" i="4"/>
  <c r="J445" i="4"/>
  <c r="G445" i="4"/>
  <c r="F445" i="4"/>
  <c r="J444" i="4"/>
  <c r="I444" i="4"/>
  <c r="G444" i="4"/>
  <c r="F444" i="4"/>
  <c r="J443" i="4"/>
  <c r="I443" i="4"/>
  <c r="G443" i="4"/>
  <c r="F443" i="4"/>
  <c r="J442" i="4"/>
  <c r="I442" i="4"/>
  <c r="G442" i="4"/>
  <c r="F442" i="4"/>
  <c r="J441" i="4"/>
  <c r="I441" i="4"/>
  <c r="G441" i="4"/>
  <c r="F441" i="4"/>
  <c r="J440" i="4"/>
  <c r="I440" i="4"/>
  <c r="G440" i="4"/>
  <c r="F440" i="4"/>
  <c r="J439" i="4"/>
  <c r="I439" i="4"/>
  <c r="H439" i="4"/>
  <c r="G439" i="4"/>
  <c r="F439" i="4"/>
  <c r="E439" i="4"/>
  <c r="J438" i="4"/>
  <c r="I438" i="4"/>
  <c r="H438" i="4"/>
  <c r="G438" i="4"/>
  <c r="F438" i="4"/>
  <c r="E438" i="4"/>
  <c r="J437" i="4"/>
  <c r="I437" i="4"/>
  <c r="H437" i="4"/>
  <c r="G437" i="4"/>
  <c r="F437" i="4"/>
  <c r="E437" i="4"/>
  <c r="J436" i="4"/>
  <c r="I436" i="4"/>
  <c r="H436" i="4"/>
  <c r="G436" i="4"/>
  <c r="F436" i="4"/>
  <c r="E436" i="4"/>
  <c r="J435" i="4"/>
  <c r="I435" i="4"/>
  <c r="H435" i="4"/>
  <c r="G435" i="4"/>
  <c r="F435" i="4"/>
  <c r="E435" i="4"/>
  <c r="J434" i="4"/>
  <c r="I434" i="4"/>
  <c r="H434" i="4"/>
  <c r="G434" i="4"/>
  <c r="F434" i="4"/>
  <c r="D434" i="4"/>
  <c r="J433" i="4"/>
  <c r="I433" i="4"/>
  <c r="H433" i="4"/>
  <c r="G433" i="4"/>
  <c r="F433" i="4"/>
  <c r="D433" i="4"/>
  <c r="J432" i="4"/>
  <c r="I432" i="4"/>
  <c r="H432" i="4"/>
  <c r="G432" i="4"/>
  <c r="F432" i="4"/>
  <c r="D432" i="4"/>
  <c r="J431" i="4"/>
  <c r="I431" i="4"/>
  <c r="H431" i="4"/>
  <c r="G431" i="4"/>
  <c r="F431" i="4"/>
  <c r="D431" i="4"/>
  <c r="J430" i="4"/>
  <c r="I430" i="4"/>
  <c r="H430" i="4"/>
  <c r="G430" i="4"/>
  <c r="F430" i="4"/>
  <c r="D430" i="4"/>
  <c r="J429" i="4"/>
  <c r="G429" i="4"/>
  <c r="F429" i="4"/>
  <c r="J428" i="4"/>
  <c r="G428" i="4"/>
  <c r="F428" i="4"/>
  <c r="J427" i="4"/>
  <c r="G427" i="4"/>
  <c r="F427" i="4"/>
  <c r="J426" i="4"/>
  <c r="G426" i="4"/>
  <c r="F426" i="4"/>
  <c r="J425" i="4"/>
  <c r="G425" i="4"/>
  <c r="F425" i="4"/>
  <c r="J424" i="4"/>
  <c r="G424" i="4"/>
  <c r="F424" i="4"/>
  <c r="J423" i="4"/>
  <c r="G423" i="4"/>
  <c r="F423" i="4"/>
  <c r="J422" i="4"/>
  <c r="G422" i="4"/>
  <c r="F422" i="4"/>
  <c r="J421" i="4"/>
  <c r="G421" i="4"/>
  <c r="F421" i="4"/>
  <c r="J420" i="4"/>
  <c r="G420" i="4"/>
  <c r="F420" i="4"/>
  <c r="J419" i="4"/>
  <c r="I419" i="4"/>
  <c r="G419" i="4"/>
  <c r="F419" i="4"/>
  <c r="J418" i="4"/>
  <c r="I418" i="4"/>
  <c r="G418" i="4"/>
  <c r="F418" i="4"/>
  <c r="J417" i="4"/>
  <c r="I417" i="4"/>
  <c r="G417" i="4"/>
  <c r="F417" i="4"/>
  <c r="J416" i="4"/>
  <c r="I416" i="4"/>
  <c r="G416" i="4"/>
  <c r="F416" i="4"/>
  <c r="J415" i="4"/>
  <c r="I415" i="4"/>
  <c r="G415" i="4"/>
  <c r="F415" i="4"/>
  <c r="J414" i="4"/>
  <c r="G414" i="4"/>
  <c r="F414" i="4"/>
  <c r="J413" i="4"/>
  <c r="G413" i="4"/>
  <c r="F413" i="4"/>
  <c r="J412" i="4"/>
  <c r="G412" i="4"/>
  <c r="F412" i="4"/>
  <c r="J411" i="4"/>
  <c r="G411" i="4"/>
  <c r="F411" i="4"/>
  <c r="J410" i="4"/>
  <c r="G410" i="4"/>
  <c r="F410" i="4"/>
  <c r="J409" i="4"/>
  <c r="G409" i="4"/>
  <c r="F409" i="4"/>
  <c r="J408" i="4"/>
  <c r="G408" i="4"/>
  <c r="F408" i="4"/>
  <c r="J407" i="4"/>
  <c r="G407" i="4"/>
  <c r="F407" i="4"/>
  <c r="J406" i="4"/>
  <c r="G406" i="4"/>
  <c r="F406" i="4"/>
  <c r="J405" i="4"/>
  <c r="G405" i="4"/>
  <c r="F405" i="4"/>
  <c r="J404" i="4"/>
  <c r="I404" i="4"/>
  <c r="G404" i="4"/>
  <c r="F404" i="4"/>
  <c r="J403" i="4"/>
  <c r="I403" i="4"/>
  <c r="G403" i="4"/>
  <c r="F403" i="4"/>
  <c r="J402" i="4"/>
  <c r="I402" i="4"/>
  <c r="G402" i="4"/>
  <c r="F402" i="4"/>
  <c r="J401" i="4"/>
  <c r="I401" i="4"/>
  <c r="G401" i="4"/>
  <c r="F401" i="4"/>
  <c r="J400" i="4"/>
  <c r="I400" i="4"/>
  <c r="G400" i="4"/>
  <c r="F400" i="4"/>
  <c r="J399" i="4"/>
  <c r="I399" i="4"/>
  <c r="G399" i="4"/>
  <c r="F399" i="4"/>
  <c r="J398" i="4"/>
  <c r="I398" i="4"/>
  <c r="G398" i="4"/>
  <c r="F398" i="4"/>
  <c r="J397" i="4"/>
  <c r="I397" i="4"/>
  <c r="G397" i="4"/>
  <c r="F397" i="4"/>
  <c r="J396" i="4"/>
  <c r="I396" i="4"/>
  <c r="G396" i="4"/>
  <c r="F396" i="4"/>
  <c r="J395" i="4"/>
  <c r="I395" i="4"/>
  <c r="G395" i="4"/>
  <c r="F395" i="4"/>
  <c r="J394" i="4"/>
  <c r="I394" i="4"/>
  <c r="G394" i="4"/>
  <c r="F394" i="4"/>
  <c r="J393" i="4"/>
  <c r="I393" i="4"/>
  <c r="G393" i="4"/>
  <c r="F393" i="4"/>
  <c r="J392" i="4"/>
  <c r="I392" i="4"/>
  <c r="G392" i="4"/>
  <c r="F392" i="4"/>
  <c r="J391" i="4"/>
  <c r="I391" i="4"/>
  <c r="G391" i="4"/>
  <c r="F391" i="4"/>
  <c r="J390" i="4"/>
  <c r="I390" i="4"/>
  <c r="G390" i="4"/>
  <c r="F390" i="4"/>
  <c r="J389" i="4"/>
  <c r="I389" i="4"/>
  <c r="G389" i="4"/>
  <c r="F389" i="4"/>
  <c r="J388" i="4"/>
  <c r="I388" i="4"/>
  <c r="G388" i="4"/>
  <c r="F388" i="4"/>
  <c r="J387" i="4"/>
  <c r="I387" i="4"/>
  <c r="G387" i="4"/>
  <c r="F387" i="4"/>
  <c r="J386" i="4"/>
  <c r="I386" i="4"/>
  <c r="G386" i="4"/>
  <c r="F386" i="4"/>
  <c r="J385" i="4"/>
  <c r="I385" i="4"/>
  <c r="G385" i="4"/>
  <c r="F385" i="4"/>
  <c r="J384" i="4"/>
  <c r="I384" i="4"/>
  <c r="G384" i="4"/>
  <c r="F384" i="4"/>
  <c r="J383" i="4"/>
  <c r="I383" i="4"/>
  <c r="G383" i="4"/>
  <c r="F383" i="4"/>
  <c r="J382" i="4"/>
  <c r="I382" i="4"/>
  <c r="G382" i="4"/>
  <c r="F382" i="4"/>
  <c r="J381" i="4"/>
  <c r="I381" i="4"/>
  <c r="G381" i="4"/>
  <c r="F381" i="4"/>
  <c r="J380" i="4"/>
  <c r="I380" i="4"/>
  <c r="G380" i="4"/>
  <c r="F380" i="4"/>
  <c r="J379" i="4"/>
  <c r="I379" i="4"/>
  <c r="G379" i="4"/>
  <c r="F379" i="4"/>
  <c r="J378" i="4"/>
  <c r="I378" i="4"/>
  <c r="G378" i="4"/>
  <c r="F378" i="4"/>
  <c r="J377" i="4"/>
  <c r="I377" i="4"/>
  <c r="G377" i="4"/>
  <c r="F377" i="4"/>
  <c r="J376" i="4"/>
  <c r="I376" i="4"/>
  <c r="G376" i="4"/>
  <c r="F376" i="4"/>
  <c r="J375" i="4"/>
  <c r="I375" i="4"/>
  <c r="G375" i="4"/>
  <c r="F375" i="4"/>
  <c r="J374" i="4"/>
  <c r="I374" i="4"/>
  <c r="G374" i="4"/>
  <c r="F374" i="4"/>
  <c r="J373" i="4"/>
  <c r="I373" i="4"/>
  <c r="G373" i="4"/>
  <c r="F373" i="4"/>
  <c r="J372" i="4"/>
  <c r="I372" i="4"/>
  <c r="G372" i="4"/>
  <c r="F372" i="4"/>
  <c r="J371" i="4"/>
  <c r="I371" i="4"/>
  <c r="G371" i="4"/>
  <c r="F371" i="4"/>
  <c r="J370" i="4"/>
  <c r="I370" i="4"/>
  <c r="G370" i="4"/>
  <c r="F370" i="4"/>
  <c r="J369" i="4"/>
  <c r="I369" i="4"/>
  <c r="G369" i="4"/>
  <c r="F369" i="4"/>
  <c r="J368" i="4"/>
  <c r="I368" i="4"/>
  <c r="G368" i="4"/>
  <c r="F368" i="4"/>
  <c r="J367" i="4"/>
  <c r="I367" i="4"/>
  <c r="G367" i="4"/>
  <c r="F367" i="4"/>
  <c r="J366" i="4"/>
  <c r="I366" i="4"/>
  <c r="G366" i="4"/>
  <c r="F366" i="4"/>
  <c r="J365" i="4"/>
  <c r="I365" i="4"/>
  <c r="G365" i="4"/>
  <c r="F365" i="4"/>
  <c r="J364" i="4"/>
  <c r="I364" i="4"/>
  <c r="G364" i="4"/>
  <c r="F364" i="4"/>
  <c r="J363" i="4"/>
  <c r="I363" i="4"/>
  <c r="G363" i="4"/>
  <c r="F363" i="4"/>
  <c r="J362" i="4"/>
  <c r="I362" i="4"/>
  <c r="G362" i="4"/>
  <c r="F362" i="4"/>
  <c r="J361" i="4"/>
  <c r="I361" i="4"/>
  <c r="G361" i="4"/>
  <c r="F361" i="4"/>
  <c r="J360" i="4"/>
  <c r="I360" i="4"/>
  <c r="G360" i="4"/>
  <c r="F360" i="4"/>
  <c r="J359" i="4"/>
  <c r="I359" i="4"/>
  <c r="G359" i="4"/>
  <c r="F359" i="4"/>
  <c r="J358" i="4"/>
  <c r="I358" i="4"/>
  <c r="G358" i="4"/>
  <c r="F358" i="4"/>
  <c r="J357" i="4"/>
  <c r="I357" i="4"/>
  <c r="G357" i="4"/>
  <c r="F357" i="4"/>
  <c r="J356" i="4"/>
  <c r="I356" i="4"/>
  <c r="G356" i="4"/>
  <c r="F356" i="4"/>
  <c r="J355" i="4"/>
  <c r="I355" i="4"/>
  <c r="G355" i="4"/>
  <c r="F355" i="4"/>
  <c r="J354" i="4"/>
  <c r="I354" i="4"/>
  <c r="G354" i="4"/>
  <c r="F354" i="4"/>
  <c r="J353" i="4"/>
  <c r="I353" i="4"/>
  <c r="G353" i="4"/>
  <c r="F353" i="4"/>
  <c r="J352" i="4"/>
  <c r="I352" i="4"/>
  <c r="G352" i="4"/>
  <c r="F352" i="4"/>
  <c r="J351" i="4"/>
  <c r="I351" i="4"/>
  <c r="G351" i="4"/>
  <c r="F351" i="4"/>
  <c r="J350" i="4"/>
  <c r="I350" i="4"/>
  <c r="G350" i="4"/>
  <c r="F350" i="4"/>
  <c r="J349" i="4"/>
  <c r="I349" i="4"/>
  <c r="G349" i="4"/>
  <c r="F349" i="4"/>
  <c r="J348" i="4"/>
  <c r="I348" i="4"/>
  <c r="G348" i="4"/>
  <c r="F348" i="4"/>
  <c r="J347" i="4"/>
  <c r="I347" i="4"/>
  <c r="G347" i="4"/>
  <c r="F347" i="4"/>
  <c r="J346" i="4"/>
  <c r="I346" i="4"/>
  <c r="G346" i="4"/>
  <c r="F346" i="4"/>
  <c r="J345" i="4"/>
  <c r="I345" i="4"/>
  <c r="G345" i="4"/>
  <c r="F345" i="4"/>
  <c r="J344" i="4"/>
  <c r="I344" i="4"/>
  <c r="G344" i="4"/>
  <c r="F344" i="4"/>
  <c r="J343" i="4"/>
  <c r="I343" i="4"/>
  <c r="G343" i="4"/>
  <c r="F343" i="4"/>
  <c r="J342" i="4"/>
  <c r="I342" i="4"/>
  <c r="G342" i="4"/>
  <c r="F342" i="4"/>
  <c r="J341" i="4"/>
  <c r="I341" i="4"/>
  <c r="G341" i="4"/>
  <c r="F341" i="4"/>
  <c r="J340" i="4"/>
  <c r="I340" i="4"/>
  <c r="G340" i="4"/>
  <c r="F340" i="4"/>
  <c r="J339" i="4"/>
  <c r="I339" i="4"/>
  <c r="G339" i="4"/>
  <c r="F339" i="4"/>
  <c r="J338" i="4"/>
  <c r="I338" i="4"/>
  <c r="G338" i="4"/>
  <c r="F338" i="4"/>
  <c r="J337" i="4"/>
  <c r="I337" i="4"/>
  <c r="G337" i="4"/>
  <c r="F337" i="4"/>
  <c r="J336" i="4"/>
  <c r="I336" i="4"/>
  <c r="G336" i="4"/>
  <c r="F336" i="4"/>
  <c r="J335" i="4"/>
  <c r="I335" i="4"/>
  <c r="G335" i="4"/>
  <c r="F335" i="4"/>
  <c r="J334" i="4"/>
  <c r="I334" i="4"/>
  <c r="G334" i="4"/>
  <c r="F334" i="4"/>
  <c r="J333" i="4"/>
  <c r="I333" i="4"/>
  <c r="G333" i="4"/>
  <c r="F333" i="4"/>
  <c r="J332" i="4"/>
  <c r="I332" i="4"/>
  <c r="G332" i="4"/>
  <c r="F332" i="4"/>
  <c r="J331" i="4"/>
  <c r="I331" i="4"/>
  <c r="G331" i="4"/>
  <c r="F331" i="4"/>
  <c r="J330" i="4"/>
  <c r="I330" i="4"/>
  <c r="G330" i="4"/>
  <c r="F330" i="4"/>
  <c r="J329" i="4"/>
  <c r="I329" i="4"/>
  <c r="G329" i="4"/>
  <c r="F329" i="4"/>
  <c r="J328" i="4"/>
  <c r="I328" i="4"/>
  <c r="G328" i="4"/>
  <c r="F328" i="4"/>
  <c r="J327" i="4"/>
  <c r="I327" i="4"/>
  <c r="G327" i="4"/>
  <c r="F327" i="4"/>
  <c r="J326" i="4"/>
  <c r="I326" i="4"/>
  <c r="G326" i="4"/>
  <c r="F326" i="4"/>
  <c r="J325" i="4"/>
  <c r="I325" i="4"/>
  <c r="G325" i="4"/>
  <c r="F325" i="4"/>
  <c r="J324" i="4"/>
  <c r="I324" i="4"/>
  <c r="G324" i="4"/>
  <c r="F324" i="4"/>
  <c r="J323" i="4"/>
  <c r="I323" i="4"/>
  <c r="G323" i="4"/>
  <c r="F323" i="4"/>
  <c r="J322" i="4"/>
  <c r="I322" i="4"/>
  <c r="G322" i="4"/>
  <c r="F322" i="4"/>
  <c r="J321" i="4"/>
  <c r="I321" i="4"/>
  <c r="G321" i="4"/>
  <c r="F321" i="4"/>
  <c r="J320" i="4"/>
  <c r="I320" i="4"/>
  <c r="G320" i="4"/>
  <c r="F320" i="4"/>
  <c r="J319" i="4"/>
  <c r="I319" i="4"/>
  <c r="G319" i="4"/>
  <c r="F319" i="4"/>
  <c r="J318" i="4"/>
  <c r="I318" i="4"/>
  <c r="G318" i="4"/>
  <c r="F318" i="4"/>
  <c r="J317" i="4"/>
  <c r="I317" i="4"/>
  <c r="G317" i="4"/>
  <c r="F317" i="4"/>
  <c r="J316" i="4"/>
  <c r="I316" i="4"/>
  <c r="H316" i="4"/>
  <c r="G316" i="4"/>
  <c r="F316" i="4"/>
  <c r="J315" i="4"/>
  <c r="I315" i="4"/>
  <c r="H315" i="4"/>
  <c r="G315" i="4"/>
  <c r="F315" i="4"/>
  <c r="J314" i="4"/>
  <c r="I314" i="4"/>
  <c r="H314" i="4"/>
  <c r="G314" i="4"/>
  <c r="F314" i="4"/>
  <c r="J313" i="4"/>
  <c r="I313" i="4"/>
  <c r="H313" i="4"/>
  <c r="G313" i="4"/>
  <c r="F313" i="4"/>
  <c r="J312" i="4"/>
  <c r="I312" i="4"/>
  <c r="H312" i="4"/>
  <c r="G312" i="4"/>
  <c r="F312" i="4"/>
  <c r="J311" i="4"/>
  <c r="I311" i="4"/>
  <c r="H311" i="4"/>
  <c r="G311" i="4"/>
  <c r="F311" i="4"/>
  <c r="J310" i="4"/>
  <c r="I310" i="4"/>
  <c r="H310" i="4"/>
  <c r="G310" i="4"/>
  <c r="F310" i="4"/>
  <c r="J309" i="4"/>
  <c r="I309" i="4"/>
  <c r="H309" i="4"/>
  <c r="G309" i="4"/>
  <c r="F309" i="4"/>
  <c r="E309" i="4"/>
  <c r="J308" i="4"/>
  <c r="I308" i="4"/>
  <c r="H308" i="4"/>
  <c r="G308" i="4"/>
  <c r="F308" i="4"/>
  <c r="E308" i="4"/>
  <c r="J307" i="4"/>
  <c r="I307" i="4"/>
  <c r="H307" i="4"/>
  <c r="G307" i="4"/>
  <c r="F307" i="4"/>
  <c r="E307" i="4"/>
  <c r="J306" i="4"/>
  <c r="I306" i="4"/>
  <c r="H306" i="4"/>
  <c r="G306" i="4"/>
  <c r="F306" i="4"/>
  <c r="E306" i="4"/>
  <c r="J305" i="4"/>
  <c r="I305" i="4"/>
  <c r="H305" i="4"/>
  <c r="G305" i="4"/>
  <c r="F305" i="4"/>
  <c r="E305" i="4"/>
  <c r="J304" i="4"/>
  <c r="I304" i="4"/>
  <c r="H304" i="4"/>
  <c r="G304" i="4"/>
  <c r="F304" i="4"/>
  <c r="E304" i="4"/>
  <c r="J303" i="4"/>
  <c r="I303" i="4"/>
  <c r="H303" i="4"/>
  <c r="G303" i="4"/>
  <c r="F303" i="4"/>
  <c r="J302" i="4"/>
  <c r="I302" i="4"/>
  <c r="H302" i="4"/>
  <c r="G302" i="4"/>
  <c r="F302" i="4"/>
  <c r="J301" i="4"/>
  <c r="I301" i="4"/>
  <c r="H301" i="4"/>
  <c r="G301" i="4"/>
  <c r="F301" i="4"/>
  <c r="J300" i="4"/>
  <c r="I300" i="4"/>
  <c r="H300" i="4"/>
  <c r="G300" i="4"/>
  <c r="F300" i="4"/>
  <c r="J299" i="4"/>
  <c r="I299" i="4"/>
  <c r="H299" i="4"/>
  <c r="G299" i="4"/>
  <c r="F299" i="4"/>
  <c r="J298" i="4"/>
  <c r="I298" i="4"/>
  <c r="H298" i="4"/>
  <c r="G298" i="4"/>
  <c r="F298" i="4"/>
  <c r="E298" i="4"/>
  <c r="J297" i="4"/>
  <c r="I297" i="4"/>
  <c r="H297" i="4"/>
  <c r="G297" i="4"/>
  <c r="F297" i="4"/>
  <c r="E297" i="4"/>
  <c r="J296" i="4"/>
  <c r="I296" i="4"/>
  <c r="H296" i="4"/>
  <c r="G296" i="4"/>
  <c r="F296" i="4"/>
  <c r="E296" i="4"/>
  <c r="J295" i="4"/>
  <c r="I295" i="4"/>
  <c r="H295" i="4"/>
  <c r="G295" i="4"/>
  <c r="F295" i="4"/>
  <c r="E295" i="4"/>
  <c r="J294" i="4"/>
  <c r="I294" i="4"/>
  <c r="H294" i="4"/>
  <c r="G294" i="4"/>
  <c r="F294" i="4"/>
  <c r="E294" i="4"/>
  <c r="J293" i="4"/>
  <c r="I293" i="4"/>
  <c r="H293" i="4"/>
  <c r="G293" i="4"/>
  <c r="F293" i="4"/>
  <c r="E293" i="4"/>
  <c r="J292" i="4"/>
  <c r="I292" i="4"/>
  <c r="H292" i="4"/>
  <c r="G292" i="4"/>
  <c r="F292" i="4"/>
  <c r="E292" i="4"/>
  <c r="J291" i="4"/>
  <c r="I291" i="4"/>
  <c r="H291" i="4"/>
  <c r="G291" i="4"/>
  <c r="J290" i="4"/>
  <c r="I290" i="4"/>
  <c r="H290" i="4"/>
  <c r="G290" i="4"/>
  <c r="J289" i="4"/>
  <c r="I289" i="4"/>
  <c r="H289" i="4"/>
  <c r="G289" i="4"/>
  <c r="J288" i="4"/>
  <c r="I288" i="4"/>
  <c r="H288" i="4"/>
  <c r="G288" i="4"/>
  <c r="F288" i="4"/>
  <c r="J287" i="4"/>
  <c r="I287" i="4"/>
  <c r="H287" i="4"/>
  <c r="G287" i="4"/>
  <c r="F287" i="4"/>
  <c r="J286" i="4"/>
  <c r="I286" i="4"/>
  <c r="H286" i="4"/>
  <c r="G286" i="4"/>
  <c r="F286" i="4"/>
  <c r="J285" i="4"/>
  <c r="I285" i="4"/>
  <c r="H285" i="4"/>
  <c r="G285" i="4"/>
  <c r="F285" i="4"/>
  <c r="J284" i="4"/>
  <c r="I284" i="4"/>
  <c r="H284" i="4"/>
  <c r="G284" i="4"/>
  <c r="F284" i="4"/>
  <c r="E284" i="4"/>
  <c r="J283" i="4"/>
  <c r="I283" i="4"/>
  <c r="H283" i="4"/>
  <c r="G283" i="4"/>
  <c r="F283" i="4"/>
  <c r="E283" i="4"/>
  <c r="J282" i="4"/>
  <c r="I282" i="4"/>
  <c r="H282" i="4"/>
  <c r="G282" i="4"/>
  <c r="F282" i="4"/>
  <c r="E282" i="4"/>
  <c r="J281" i="4"/>
  <c r="I281" i="4"/>
  <c r="H281" i="4"/>
  <c r="G281" i="4"/>
  <c r="F281" i="4"/>
  <c r="E281" i="4"/>
  <c r="J280" i="4"/>
  <c r="I280" i="4"/>
  <c r="H280" i="4"/>
  <c r="G280" i="4"/>
  <c r="F280" i="4"/>
  <c r="E280" i="4"/>
  <c r="J279" i="4"/>
  <c r="I279" i="4"/>
  <c r="H279" i="4"/>
  <c r="G279" i="4"/>
  <c r="F279" i="4"/>
  <c r="E279" i="4"/>
  <c r="J278" i="4"/>
  <c r="I278" i="4"/>
  <c r="H278" i="4"/>
  <c r="G278" i="4"/>
  <c r="F278" i="4"/>
  <c r="E278" i="4"/>
  <c r="J277" i="4"/>
  <c r="I277" i="4"/>
  <c r="H277" i="4"/>
  <c r="G277" i="4"/>
  <c r="F277" i="4"/>
  <c r="E277" i="4"/>
  <c r="J276" i="4"/>
  <c r="I276" i="4"/>
  <c r="H276" i="4"/>
  <c r="G276" i="4"/>
  <c r="F276" i="4"/>
  <c r="J275" i="4"/>
  <c r="I275" i="4"/>
  <c r="H275" i="4"/>
  <c r="G275" i="4"/>
  <c r="F275" i="4"/>
  <c r="J274" i="4"/>
  <c r="I274" i="4"/>
  <c r="H274" i="4"/>
  <c r="G274" i="4"/>
  <c r="F274" i="4"/>
  <c r="J273" i="4"/>
  <c r="I273" i="4"/>
  <c r="H273" i="4"/>
  <c r="G273" i="4"/>
  <c r="F273" i="4"/>
  <c r="J272" i="4"/>
  <c r="I272" i="4"/>
  <c r="H272" i="4"/>
  <c r="G272" i="4"/>
  <c r="F272" i="4"/>
  <c r="J271" i="4"/>
  <c r="I271" i="4"/>
  <c r="H271" i="4"/>
  <c r="G271" i="4"/>
  <c r="F271" i="4"/>
  <c r="J270" i="4"/>
  <c r="I270" i="4"/>
  <c r="H270" i="4"/>
  <c r="G270" i="4"/>
  <c r="F270" i="4"/>
  <c r="J269" i="4"/>
  <c r="I269" i="4"/>
  <c r="H269" i="4"/>
  <c r="G269" i="4"/>
  <c r="F269" i="4"/>
  <c r="J268" i="4"/>
  <c r="I268" i="4"/>
  <c r="H268" i="4"/>
  <c r="G268" i="4"/>
  <c r="F268" i="4"/>
  <c r="J267" i="4"/>
  <c r="I267" i="4"/>
  <c r="H267" i="4"/>
  <c r="G267" i="4"/>
  <c r="F267" i="4"/>
  <c r="J266" i="4"/>
  <c r="I266" i="4"/>
  <c r="H266" i="4"/>
  <c r="G266" i="4"/>
  <c r="F266" i="4"/>
  <c r="J265" i="4"/>
  <c r="I265" i="4"/>
  <c r="H265" i="4"/>
  <c r="G265" i="4"/>
  <c r="F265" i="4"/>
  <c r="J264" i="4"/>
  <c r="I264" i="4"/>
  <c r="H264" i="4"/>
  <c r="G264" i="4"/>
  <c r="F264" i="4"/>
  <c r="J263" i="4"/>
  <c r="I263" i="4"/>
  <c r="H263" i="4"/>
  <c r="G263" i="4"/>
  <c r="F263" i="4"/>
  <c r="J262" i="4"/>
  <c r="I262" i="4"/>
  <c r="H262" i="4"/>
  <c r="G262" i="4"/>
  <c r="F262" i="4"/>
  <c r="J261" i="4"/>
  <c r="I261" i="4"/>
  <c r="H261" i="4"/>
  <c r="G261" i="4"/>
  <c r="F261" i="4"/>
  <c r="E261" i="4"/>
  <c r="J260" i="4"/>
  <c r="I260" i="4"/>
  <c r="H260" i="4"/>
  <c r="G260" i="4"/>
  <c r="F260" i="4"/>
  <c r="E260" i="4"/>
  <c r="J259" i="4"/>
  <c r="I259" i="4"/>
  <c r="H259" i="4"/>
  <c r="G259" i="4"/>
  <c r="F259" i="4"/>
  <c r="E259" i="4"/>
  <c r="J258" i="4"/>
  <c r="I258" i="4"/>
  <c r="H258" i="4"/>
  <c r="G258" i="4"/>
  <c r="F258" i="4"/>
  <c r="E258" i="4"/>
  <c r="J257" i="4"/>
  <c r="I257" i="4"/>
  <c r="H257" i="4"/>
  <c r="G257" i="4"/>
  <c r="F257" i="4"/>
  <c r="E257" i="4"/>
  <c r="J256" i="4"/>
  <c r="I256" i="4"/>
  <c r="H256" i="4"/>
  <c r="G256" i="4"/>
  <c r="F256" i="4"/>
  <c r="E256" i="4"/>
  <c r="J255" i="4"/>
  <c r="I255" i="4"/>
  <c r="H255" i="4"/>
  <c r="G255" i="4"/>
  <c r="F255" i="4"/>
  <c r="J254" i="4"/>
  <c r="I254" i="4"/>
  <c r="H254" i="4"/>
  <c r="G254" i="4"/>
  <c r="F254" i="4"/>
  <c r="J253" i="4"/>
  <c r="I253" i="4"/>
  <c r="H253" i="4"/>
  <c r="G253" i="4"/>
  <c r="F253" i="4"/>
  <c r="J252" i="4"/>
  <c r="I252" i="4"/>
  <c r="H252" i="4"/>
  <c r="G252" i="4"/>
  <c r="F252" i="4"/>
  <c r="J251" i="4"/>
  <c r="I251" i="4"/>
  <c r="H251" i="4"/>
  <c r="G251" i="4"/>
  <c r="F251" i="4"/>
  <c r="J250" i="4"/>
  <c r="I250" i="4"/>
  <c r="H250" i="4"/>
  <c r="G250" i="4"/>
  <c r="F250" i="4"/>
  <c r="E250" i="4"/>
  <c r="J249" i="4"/>
  <c r="I249" i="4"/>
  <c r="H249" i="4"/>
  <c r="G249" i="4"/>
  <c r="F249" i="4"/>
  <c r="E249" i="4"/>
  <c r="J248" i="4"/>
  <c r="I248" i="4"/>
  <c r="H248" i="4"/>
  <c r="G248" i="4"/>
  <c r="F248" i="4"/>
  <c r="E248" i="4"/>
  <c r="J247" i="4"/>
  <c r="I247" i="4"/>
  <c r="H247" i="4"/>
  <c r="G247" i="4"/>
  <c r="F247" i="4"/>
  <c r="E247" i="4"/>
  <c r="J246" i="4"/>
  <c r="I246" i="4"/>
  <c r="H246" i="4"/>
  <c r="G246" i="4"/>
  <c r="F246" i="4"/>
  <c r="E246" i="4"/>
  <c r="J245" i="4"/>
  <c r="I245" i="4"/>
  <c r="H245" i="4"/>
  <c r="G245" i="4"/>
  <c r="F245" i="4"/>
  <c r="E245" i="4"/>
  <c r="J244" i="4"/>
  <c r="I244" i="4"/>
  <c r="H244" i="4"/>
  <c r="G244" i="4"/>
  <c r="F244" i="4"/>
  <c r="J243" i="4"/>
  <c r="I243" i="4"/>
  <c r="H243" i="4"/>
  <c r="G243" i="4"/>
  <c r="F243" i="4"/>
  <c r="J242" i="4"/>
  <c r="I242" i="4"/>
  <c r="H242" i="4"/>
  <c r="G242" i="4"/>
  <c r="F242" i="4"/>
  <c r="J241" i="4"/>
  <c r="I241" i="4"/>
  <c r="H241" i="4"/>
  <c r="G241" i="4"/>
  <c r="F241" i="4"/>
  <c r="J240" i="4"/>
  <c r="I240" i="4"/>
  <c r="H240" i="4"/>
  <c r="G240" i="4"/>
  <c r="F240" i="4"/>
  <c r="J239" i="4"/>
  <c r="I239" i="4"/>
  <c r="H239" i="4"/>
  <c r="G239" i="4"/>
  <c r="F239" i="4"/>
  <c r="E239" i="4"/>
  <c r="J238" i="4"/>
  <c r="I238" i="4"/>
  <c r="H238" i="4"/>
  <c r="G238" i="4"/>
  <c r="F238" i="4"/>
  <c r="E238" i="4"/>
  <c r="J237" i="4"/>
  <c r="I237" i="4"/>
  <c r="H237" i="4"/>
  <c r="G237" i="4"/>
  <c r="F237" i="4"/>
  <c r="E237" i="4"/>
  <c r="J236" i="4"/>
  <c r="I236" i="4"/>
  <c r="H236" i="4"/>
  <c r="G236" i="4"/>
  <c r="F236" i="4"/>
  <c r="E236" i="4"/>
  <c r="J235" i="4"/>
  <c r="I235" i="4"/>
  <c r="H235" i="4"/>
  <c r="G235" i="4"/>
  <c r="F235" i="4"/>
  <c r="E235" i="4"/>
  <c r="J234" i="4"/>
  <c r="I234" i="4"/>
  <c r="H234" i="4"/>
  <c r="G234" i="4"/>
  <c r="F234" i="4"/>
  <c r="J233" i="4"/>
  <c r="I233" i="4"/>
  <c r="H233" i="4"/>
  <c r="G233" i="4"/>
  <c r="F233" i="4"/>
  <c r="J232" i="4"/>
  <c r="I232" i="4"/>
  <c r="H232" i="4"/>
  <c r="G232" i="4"/>
  <c r="F232" i="4"/>
  <c r="J231" i="4"/>
  <c r="I231" i="4"/>
  <c r="H231" i="4"/>
  <c r="G231" i="4"/>
  <c r="F231" i="4"/>
  <c r="J230" i="4"/>
  <c r="I230" i="4"/>
  <c r="H230" i="4"/>
  <c r="G230" i="4"/>
  <c r="F230" i="4"/>
  <c r="J229" i="4"/>
  <c r="I229" i="4"/>
  <c r="H229" i="4"/>
  <c r="G229" i="4"/>
  <c r="F229" i="4"/>
  <c r="J228" i="4"/>
  <c r="I228" i="4"/>
  <c r="H228" i="4"/>
  <c r="G228" i="4"/>
  <c r="F228" i="4"/>
  <c r="J227" i="4"/>
  <c r="I227" i="4"/>
  <c r="H227" i="4"/>
  <c r="G227" i="4"/>
  <c r="F227" i="4"/>
  <c r="J226" i="4"/>
  <c r="I226" i="4"/>
  <c r="H226" i="4"/>
  <c r="G226" i="4"/>
  <c r="F226" i="4"/>
  <c r="J225" i="4"/>
  <c r="I225" i="4"/>
  <c r="H225" i="4"/>
  <c r="G225" i="4"/>
  <c r="F225" i="4"/>
  <c r="J224" i="4"/>
  <c r="I224" i="4"/>
  <c r="H224" i="4"/>
  <c r="G224" i="4"/>
  <c r="F224" i="4"/>
  <c r="J223" i="4"/>
  <c r="I223" i="4"/>
  <c r="H223" i="4"/>
  <c r="G223" i="4"/>
  <c r="F223" i="4"/>
  <c r="J222" i="4"/>
  <c r="I222" i="4"/>
  <c r="H222" i="4"/>
  <c r="G222" i="4"/>
  <c r="F222" i="4"/>
  <c r="J221" i="4"/>
  <c r="I221" i="4"/>
  <c r="H221" i="4"/>
  <c r="G221" i="4"/>
  <c r="F221" i="4"/>
  <c r="J220" i="4"/>
  <c r="I220" i="4"/>
  <c r="H220" i="4"/>
  <c r="G220" i="4"/>
  <c r="F220" i="4"/>
  <c r="J219" i="4"/>
  <c r="I219" i="4"/>
  <c r="H219" i="4"/>
  <c r="G219" i="4"/>
  <c r="F219" i="4"/>
  <c r="J218" i="4"/>
  <c r="I218" i="4"/>
  <c r="H218" i="4"/>
  <c r="G218" i="4"/>
  <c r="F218" i="4"/>
  <c r="J217" i="4"/>
  <c r="I217" i="4"/>
  <c r="H217" i="4"/>
  <c r="G217" i="4"/>
  <c r="F217" i="4"/>
  <c r="J216" i="4"/>
  <c r="I216" i="4"/>
  <c r="H216" i="4"/>
  <c r="G216" i="4"/>
  <c r="F216" i="4"/>
  <c r="J215" i="4"/>
  <c r="I215" i="4"/>
  <c r="H215" i="4"/>
  <c r="G215" i="4"/>
  <c r="F215" i="4"/>
  <c r="J214" i="4"/>
  <c r="I214" i="4"/>
  <c r="H214" i="4"/>
  <c r="G214" i="4"/>
  <c r="F214" i="4"/>
  <c r="J213" i="4"/>
  <c r="I213" i="4"/>
  <c r="H213" i="4"/>
  <c r="G213" i="4"/>
  <c r="F213" i="4"/>
  <c r="J212" i="4"/>
  <c r="I212" i="4"/>
  <c r="H212" i="4"/>
  <c r="G212" i="4"/>
  <c r="F212" i="4"/>
  <c r="J211" i="4"/>
  <c r="I211" i="4"/>
  <c r="H211" i="4"/>
  <c r="G211" i="4"/>
  <c r="F211" i="4"/>
  <c r="J210" i="4"/>
  <c r="I210" i="4"/>
  <c r="H210" i="4"/>
  <c r="G210" i="4"/>
  <c r="F210" i="4"/>
  <c r="J209" i="4"/>
  <c r="I209" i="4"/>
  <c r="H209" i="4"/>
  <c r="G209" i="4"/>
  <c r="F209" i="4"/>
  <c r="J208" i="4"/>
  <c r="I208" i="4"/>
  <c r="H208" i="4"/>
  <c r="G208" i="4"/>
  <c r="F208" i="4"/>
  <c r="J207" i="4"/>
  <c r="I207" i="4"/>
  <c r="H207" i="4"/>
  <c r="G207" i="4"/>
  <c r="F207" i="4"/>
  <c r="J206" i="4"/>
  <c r="I206" i="4"/>
  <c r="H206" i="4"/>
  <c r="G206" i="4"/>
  <c r="F206" i="4"/>
  <c r="J205" i="4"/>
  <c r="I205" i="4"/>
  <c r="H205" i="4"/>
  <c r="G205" i="4"/>
  <c r="F205" i="4"/>
  <c r="J204" i="4"/>
  <c r="I204" i="4"/>
  <c r="H204" i="4"/>
  <c r="G204" i="4"/>
  <c r="F204" i="4"/>
  <c r="J203" i="4"/>
  <c r="I203" i="4"/>
  <c r="H203" i="4"/>
  <c r="G203" i="4"/>
  <c r="F203" i="4"/>
  <c r="J202" i="4"/>
  <c r="I202" i="4"/>
  <c r="H202" i="4"/>
  <c r="G202" i="4"/>
  <c r="F202" i="4"/>
  <c r="J201" i="4"/>
  <c r="I201" i="4"/>
  <c r="H201" i="4"/>
  <c r="G201" i="4"/>
  <c r="F201" i="4"/>
  <c r="J200" i="4"/>
  <c r="I200" i="4"/>
  <c r="H200" i="4"/>
  <c r="G200" i="4"/>
  <c r="F200" i="4"/>
  <c r="J199" i="4"/>
  <c r="I199" i="4"/>
  <c r="H199" i="4"/>
  <c r="G199" i="4"/>
  <c r="F199" i="4"/>
  <c r="J198" i="4"/>
  <c r="I198" i="4"/>
  <c r="H198" i="4"/>
  <c r="G198" i="4"/>
  <c r="F198" i="4"/>
  <c r="J197" i="4"/>
  <c r="I197" i="4"/>
  <c r="H197" i="4"/>
  <c r="G197" i="4"/>
  <c r="F197" i="4"/>
  <c r="J196" i="4"/>
  <c r="I196" i="4"/>
  <c r="H196" i="4"/>
  <c r="G196" i="4"/>
  <c r="F196" i="4"/>
  <c r="J195" i="4"/>
  <c r="I195" i="4"/>
  <c r="H195" i="4"/>
  <c r="G195" i="4"/>
  <c r="F195" i="4"/>
  <c r="J194" i="4"/>
  <c r="I194" i="4"/>
  <c r="H194" i="4"/>
  <c r="G194" i="4"/>
  <c r="F194" i="4"/>
  <c r="J193" i="4"/>
  <c r="I193" i="4"/>
  <c r="H193" i="4"/>
  <c r="G193" i="4"/>
  <c r="F193" i="4"/>
  <c r="J192" i="4"/>
  <c r="I192" i="4"/>
  <c r="H192" i="4"/>
  <c r="G192" i="4"/>
  <c r="F192" i="4"/>
  <c r="J191" i="4"/>
  <c r="I191" i="4"/>
  <c r="H191" i="4"/>
  <c r="G191" i="4"/>
  <c r="F191" i="4"/>
  <c r="J190" i="4"/>
  <c r="I190" i="4"/>
  <c r="H190" i="4"/>
  <c r="G190" i="4"/>
  <c r="F190" i="4"/>
  <c r="J189" i="4"/>
  <c r="I189" i="4"/>
  <c r="H189" i="4"/>
  <c r="G189" i="4"/>
  <c r="F189" i="4"/>
  <c r="J188" i="4"/>
  <c r="I188" i="4"/>
  <c r="H188" i="4"/>
  <c r="G188" i="4"/>
  <c r="F188" i="4"/>
  <c r="J187" i="4"/>
  <c r="I187" i="4"/>
  <c r="H187" i="4"/>
  <c r="G187" i="4"/>
  <c r="F187" i="4"/>
  <c r="J186" i="4"/>
  <c r="I186" i="4"/>
  <c r="H186" i="4"/>
  <c r="G186" i="4"/>
  <c r="F186" i="4"/>
  <c r="J185" i="4"/>
  <c r="I185" i="4"/>
  <c r="H185" i="4"/>
  <c r="G185" i="4"/>
  <c r="F185" i="4"/>
  <c r="J184" i="4"/>
  <c r="I184" i="4"/>
  <c r="H184" i="4"/>
  <c r="G184" i="4"/>
  <c r="F184" i="4"/>
  <c r="J183" i="4"/>
  <c r="I183" i="4"/>
  <c r="H183" i="4"/>
  <c r="J182" i="4"/>
  <c r="I182" i="4"/>
  <c r="H182" i="4"/>
  <c r="G182" i="4"/>
  <c r="J181" i="4"/>
  <c r="I181" i="4"/>
  <c r="H181" i="4"/>
  <c r="G181" i="4"/>
  <c r="J180" i="4"/>
  <c r="I180" i="4"/>
  <c r="H180" i="4"/>
  <c r="G180" i="4"/>
  <c r="J179" i="4"/>
  <c r="I179" i="4"/>
  <c r="H179" i="4"/>
  <c r="G179" i="4"/>
  <c r="F179" i="4"/>
  <c r="J178" i="4"/>
  <c r="I178" i="4"/>
  <c r="H178" i="4"/>
  <c r="G178" i="4"/>
  <c r="F178" i="4"/>
  <c r="J177" i="4"/>
  <c r="I177" i="4"/>
  <c r="H177" i="4"/>
  <c r="G177" i="4"/>
  <c r="F177" i="4"/>
  <c r="J176" i="4"/>
  <c r="I176" i="4"/>
  <c r="H176" i="4"/>
  <c r="G176" i="4"/>
  <c r="F176" i="4"/>
  <c r="J175" i="4"/>
  <c r="I175" i="4"/>
  <c r="H175" i="4"/>
  <c r="G175" i="4"/>
  <c r="F175" i="4"/>
  <c r="J174" i="4"/>
  <c r="I174" i="4"/>
  <c r="H174" i="4"/>
  <c r="G174" i="4"/>
  <c r="F174" i="4"/>
  <c r="J173" i="4"/>
  <c r="I173" i="4"/>
  <c r="H173" i="4"/>
  <c r="G173" i="4"/>
  <c r="F173" i="4"/>
  <c r="J172" i="4"/>
  <c r="I172" i="4"/>
  <c r="H172" i="4"/>
  <c r="G172" i="4"/>
  <c r="F172" i="4"/>
  <c r="J171" i="4"/>
  <c r="I171" i="4"/>
  <c r="H171" i="4"/>
  <c r="G171" i="4"/>
  <c r="F171" i="4"/>
  <c r="J170" i="4"/>
  <c r="I170" i="4"/>
  <c r="H170" i="4"/>
  <c r="G170" i="4"/>
  <c r="F170" i="4"/>
  <c r="J169" i="4"/>
  <c r="I169" i="4"/>
  <c r="H169" i="4"/>
  <c r="G169" i="4"/>
  <c r="F169" i="4"/>
  <c r="J168" i="4"/>
  <c r="I168" i="4"/>
  <c r="H168" i="4"/>
  <c r="G168" i="4"/>
  <c r="F168" i="4"/>
  <c r="J167" i="4"/>
  <c r="I167" i="4"/>
  <c r="H167" i="4"/>
  <c r="G167" i="4"/>
  <c r="F167" i="4"/>
  <c r="J166" i="4"/>
  <c r="I166" i="4"/>
  <c r="H166" i="4"/>
  <c r="G166" i="4"/>
  <c r="F166" i="4"/>
  <c r="J165" i="4"/>
  <c r="I165" i="4"/>
  <c r="H165" i="4"/>
  <c r="G165" i="4"/>
  <c r="F165" i="4"/>
  <c r="J164" i="4"/>
  <c r="I164" i="4"/>
  <c r="H164" i="4"/>
  <c r="G164" i="4"/>
  <c r="F164" i="4"/>
  <c r="J163" i="4"/>
  <c r="I163" i="4"/>
  <c r="H163" i="4"/>
  <c r="G163" i="4"/>
  <c r="F163" i="4"/>
  <c r="J162" i="4"/>
  <c r="I162" i="4"/>
  <c r="H162" i="4"/>
  <c r="G162" i="4"/>
  <c r="F162" i="4"/>
  <c r="J161" i="4"/>
  <c r="I161" i="4"/>
  <c r="H161" i="4"/>
  <c r="G161" i="4"/>
  <c r="F161" i="4"/>
  <c r="J160" i="4"/>
  <c r="I160" i="4"/>
  <c r="H160" i="4"/>
  <c r="G160" i="4"/>
  <c r="F160" i="4"/>
  <c r="J159" i="4"/>
  <c r="I159" i="4"/>
  <c r="H159" i="4"/>
  <c r="G159" i="4"/>
  <c r="F159" i="4"/>
  <c r="J158" i="4"/>
  <c r="I158" i="4"/>
  <c r="H158" i="4"/>
  <c r="G158" i="4"/>
  <c r="F158" i="4"/>
  <c r="J157" i="4"/>
  <c r="I157" i="4"/>
  <c r="H157" i="4"/>
  <c r="G157" i="4"/>
  <c r="F157" i="4"/>
  <c r="J156" i="4"/>
  <c r="I156" i="4"/>
  <c r="H156" i="4"/>
  <c r="G156" i="4"/>
  <c r="F156" i="4"/>
  <c r="J155" i="4"/>
  <c r="I155" i="4"/>
  <c r="H155" i="4"/>
  <c r="G155" i="4"/>
  <c r="F155" i="4"/>
  <c r="J154" i="4"/>
  <c r="I154" i="4"/>
  <c r="H154" i="4"/>
  <c r="G154" i="4"/>
  <c r="F154" i="4"/>
  <c r="J153" i="4"/>
  <c r="I153" i="4"/>
  <c r="H153" i="4"/>
  <c r="G153" i="4"/>
  <c r="F153" i="4"/>
  <c r="J152" i="4"/>
  <c r="I152" i="4"/>
  <c r="H152" i="4"/>
  <c r="G152" i="4"/>
  <c r="F152" i="4"/>
  <c r="J151" i="4"/>
  <c r="I151" i="4"/>
  <c r="H151" i="4"/>
  <c r="G151" i="4"/>
  <c r="F151" i="4"/>
  <c r="J150" i="4"/>
  <c r="I150" i="4"/>
  <c r="H150" i="4"/>
  <c r="G150" i="4"/>
  <c r="F150" i="4"/>
  <c r="J149" i="4"/>
  <c r="I149" i="4"/>
  <c r="H149" i="4"/>
  <c r="G149" i="4"/>
  <c r="F149" i="4"/>
  <c r="J148" i="4"/>
  <c r="I148" i="4"/>
  <c r="H148" i="4"/>
  <c r="G148" i="4"/>
  <c r="F148" i="4"/>
  <c r="J147" i="4"/>
  <c r="I147" i="4"/>
  <c r="H147" i="4"/>
  <c r="G147" i="4"/>
  <c r="F147" i="4"/>
  <c r="J146" i="4"/>
  <c r="I146" i="4"/>
  <c r="H146" i="4"/>
  <c r="G146" i="4"/>
  <c r="F146" i="4"/>
  <c r="J145" i="4"/>
  <c r="I145" i="4"/>
  <c r="H145" i="4"/>
  <c r="F145" i="4"/>
  <c r="J144" i="4"/>
  <c r="I144" i="4"/>
  <c r="H144" i="4"/>
  <c r="F144" i="4"/>
  <c r="J143" i="4"/>
  <c r="I143" i="4"/>
  <c r="H143" i="4"/>
  <c r="F143" i="4"/>
  <c r="J142" i="4"/>
  <c r="I142" i="4"/>
  <c r="H142" i="4"/>
  <c r="F142" i="4"/>
  <c r="J141" i="4"/>
  <c r="I141" i="4"/>
  <c r="H141" i="4"/>
  <c r="F141" i="4"/>
  <c r="J140" i="4"/>
  <c r="I140" i="4"/>
  <c r="H140" i="4"/>
  <c r="G140" i="4"/>
  <c r="F140" i="4"/>
  <c r="J139" i="4"/>
  <c r="I139" i="4"/>
  <c r="H139" i="4"/>
  <c r="G139" i="4"/>
  <c r="F139" i="4"/>
  <c r="J138" i="4"/>
  <c r="I138" i="4"/>
  <c r="H138" i="4"/>
  <c r="F138" i="4"/>
  <c r="J137" i="4"/>
  <c r="I137" i="4"/>
  <c r="H137" i="4"/>
  <c r="F137" i="4"/>
  <c r="J136" i="4"/>
  <c r="I136" i="4"/>
  <c r="H136" i="4"/>
  <c r="F136" i="4"/>
  <c r="J135" i="4"/>
  <c r="I135" i="4"/>
  <c r="H135" i="4"/>
  <c r="F135" i="4"/>
  <c r="J134" i="4"/>
  <c r="I134" i="4"/>
  <c r="H134" i="4"/>
  <c r="F134" i="4"/>
  <c r="J133" i="4"/>
  <c r="I133" i="4"/>
  <c r="H133" i="4"/>
  <c r="F133" i="4"/>
  <c r="J132" i="4"/>
  <c r="I132" i="4"/>
  <c r="H132" i="4"/>
  <c r="F132" i="4"/>
  <c r="J131" i="4"/>
  <c r="I131" i="4"/>
  <c r="H131" i="4"/>
  <c r="F131" i="4"/>
  <c r="J130" i="4"/>
  <c r="I130" i="4"/>
  <c r="H130" i="4"/>
  <c r="F130" i="4"/>
  <c r="J129" i="4"/>
  <c r="I129" i="4"/>
  <c r="H129" i="4"/>
  <c r="F129" i="4"/>
  <c r="J128" i="4"/>
  <c r="I128" i="4"/>
  <c r="H128" i="4"/>
  <c r="F128" i="4"/>
  <c r="J127" i="4"/>
  <c r="I127" i="4"/>
  <c r="H127" i="4"/>
  <c r="F127" i="4"/>
  <c r="J126" i="4"/>
  <c r="I126" i="4"/>
  <c r="H126" i="4"/>
  <c r="F126" i="4"/>
  <c r="J125" i="4"/>
  <c r="I125" i="4"/>
  <c r="H125" i="4"/>
  <c r="F125" i="4"/>
  <c r="J124" i="4"/>
  <c r="I124" i="4"/>
  <c r="H124" i="4"/>
  <c r="F124" i="4"/>
  <c r="J123" i="4"/>
  <c r="I123" i="4"/>
  <c r="H123" i="4"/>
  <c r="J122" i="4"/>
  <c r="I122" i="4"/>
  <c r="H122" i="4"/>
  <c r="F122" i="4"/>
  <c r="J121" i="4"/>
  <c r="I121" i="4"/>
  <c r="H121" i="4"/>
  <c r="F121" i="4"/>
  <c r="J120" i="4"/>
  <c r="I120" i="4"/>
  <c r="H120" i="4"/>
  <c r="F120" i="4"/>
  <c r="J119" i="4"/>
  <c r="I119" i="4"/>
  <c r="H119" i="4"/>
  <c r="F119" i="4"/>
  <c r="J118" i="4"/>
  <c r="I118" i="4"/>
  <c r="H118" i="4"/>
  <c r="F118" i="4"/>
  <c r="J117" i="4"/>
  <c r="I117" i="4"/>
  <c r="H117" i="4"/>
  <c r="F117" i="4"/>
  <c r="J116" i="4"/>
  <c r="I116" i="4"/>
  <c r="H116" i="4"/>
  <c r="F116" i="4"/>
  <c r="J115" i="4"/>
  <c r="I115" i="4"/>
  <c r="H115" i="4"/>
  <c r="F115" i="4"/>
  <c r="J114" i="4"/>
  <c r="I114" i="4"/>
  <c r="H114" i="4"/>
  <c r="F114" i="4"/>
  <c r="J113" i="4"/>
  <c r="I113" i="4"/>
  <c r="H113" i="4"/>
  <c r="F113" i="4"/>
  <c r="J112" i="4"/>
  <c r="I112" i="4"/>
  <c r="H112" i="4"/>
  <c r="F112" i="4"/>
  <c r="J111" i="4"/>
  <c r="I111" i="4"/>
  <c r="H111" i="4"/>
  <c r="G111" i="4"/>
  <c r="F111" i="4"/>
  <c r="D111" i="4"/>
  <c r="J110" i="4"/>
  <c r="I110" i="4"/>
  <c r="H110" i="4"/>
  <c r="G110" i="4"/>
  <c r="F110" i="4"/>
  <c r="D110" i="4"/>
  <c r="J109" i="4"/>
  <c r="I109" i="4"/>
  <c r="H109" i="4"/>
  <c r="G109" i="4"/>
  <c r="F109" i="4"/>
  <c r="D109" i="4"/>
  <c r="J108" i="4"/>
  <c r="I108" i="4"/>
  <c r="H108" i="4"/>
  <c r="G108" i="4"/>
  <c r="F108" i="4"/>
  <c r="D108" i="4"/>
  <c r="J107" i="4"/>
  <c r="I107" i="4"/>
  <c r="H107" i="4"/>
  <c r="G107" i="4"/>
  <c r="F107" i="4"/>
  <c r="D107" i="4"/>
  <c r="J106" i="4"/>
  <c r="I106" i="4"/>
  <c r="H106" i="4"/>
  <c r="G106" i="4"/>
  <c r="F106" i="4"/>
  <c r="D106" i="4"/>
  <c r="J105" i="4"/>
  <c r="I105" i="4"/>
  <c r="H105" i="4"/>
  <c r="F105" i="4"/>
  <c r="J104" i="4"/>
  <c r="I104" i="4"/>
  <c r="H104" i="4"/>
  <c r="F104" i="4"/>
  <c r="J103" i="4"/>
  <c r="I103" i="4"/>
  <c r="H103" i="4"/>
  <c r="F103" i="4"/>
  <c r="J102" i="4"/>
  <c r="I102" i="4"/>
  <c r="H102" i="4"/>
  <c r="F102" i="4"/>
  <c r="J101" i="4"/>
  <c r="I101" i="4"/>
  <c r="H101" i="4"/>
  <c r="F101" i="4"/>
  <c r="J100" i="4"/>
  <c r="I100" i="4"/>
  <c r="H100" i="4"/>
  <c r="F100" i="4"/>
  <c r="J99" i="4"/>
  <c r="I99" i="4"/>
  <c r="H99" i="4"/>
  <c r="F99" i="4"/>
  <c r="J98" i="4"/>
  <c r="I98" i="4"/>
  <c r="H98" i="4"/>
  <c r="F98" i="4"/>
  <c r="J97" i="4"/>
  <c r="I97" i="4"/>
  <c r="H97" i="4"/>
  <c r="G97" i="4"/>
  <c r="F97" i="4"/>
  <c r="J96" i="4"/>
  <c r="I96" i="4"/>
  <c r="H96" i="4"/>
  <c r="G96" i="4"/>
  <c r="F96" i="4"/>
  <c r="J95" i="4"/>
  <c r="I95" i="4"/>
  <c r="H95" i="4"/>
  <c r="G95" i="4"/>
  <c r="F95" i="4"/>
  <c r="J94" i="4"/>
  <c r="I94" i="4"/>
  <c r="H94" i="4"/>
  <c r="G94" i="4"/>
  <c r="F94" i="4"/>
  <c r="J93" i="4"/>
  <c r="I93" i="4"/>
  <c r="H93" i="4"/>
  <c r="G93" i="4"/>
  <c r="F93" i="4"/>
  <c r="J92" i="4"/>
  <c r="I92" i="4"/>
  <c r="H92" i="4"/>
  <c r="G92" i="4"/>
  <c r="F92" i="4"/>
  <c r="J91" i="4"/>
  <c r="I91" i="4"/>
  <c r="H91" i="4"/>
  <c r="G91" i="4"/>
  <c r="F91" i="4"/>
  <c r="J90" i="4"/>
  <c r="I90" i="4"/>
  <c r="H90" i="4"/>
  <c r="G90" i="4"/>
  <c r="F90" i="4"/>
  <c r="J89" i="4"/>
  <c r="I89" i="4"/>
  <c r="H89" i="4"/>
  <c r="G89" i="4"/>
  <c r="F89" i="4"/>
  <c r="J88" i="4"/>
  <c r="I88" i="4"/>
  <c r="H88" i="4"/>
  <c r="G88" i="4"/>
  <c r="F88" i="4"/>
  <c r="J87" i="4"/>
  <c r="I87" i="4"/>
  <c r="H87" i="4"/>
  <c r="G87" i="4"/>
  <c r="F87" i="4"/>
  <c r="J86" i="4"/>
  <c r="I86" i="4"/>
  <c r="H86" i="4"/>
  <c r="G86" i="4"/>
  <c r="F86" i="4"/>
  <c r="J85" i="4"/>
  <c r="I85" i="4"/>
  <c r="H85" i="4"/>
  <c r="G85" i="4"/>
  <c r="F85" i="4"/>
  <c r="J84" i="4"/>
  <c r="I84" i="4"/>
  <c r="H84" i="4"/>
  <c r="G84" i="4"/>
  <c r="F84" i="4"/>
  <c r="J83" i="4"/>
  <c r="I83" i="4"/>
  <c r="H83" i="4"/>
  <c r="G83" i="4"/>
  <c r="F83" i="4"/>
  <c r="J82" i="4"/>
  <c r="I82" i="4"/>
  <c r="H82" i="4"/>
  <c r="G82" i="4"/>
  <c r="F82" i="4"/>
  <c r="J81" i="4"/>
  <c r="I81" i="4"/>
  <c r="H81" i="4"/>
  <c r="G81" i="4"/>
  <c r="F81" i="4"/>
  <c r="J80" i="4"/>
  <c r="I80" i="4"/>
  <c r="H80" i="4"/>
  <c r="G80" i="4"/>
  <c r="F80" i="4"/>
  <c r="J79" i="4"/>
  <c r="I79" i="4"/>
  <c r="H79" i="4"/>
  <c r="G79" i="4"/>
  <c r="F79" i="4"/>
  <c r="J78" i="4"/>
  <c r="I78" i="4"/>
  <c r="H78" i="4"/>
  <c r="G78" i="4"/>
  <c r="F78" i="4"/>
  <c r="J77" i="4"/>
  <c r="I77" i="4"/>
  <c r="H77" i="4"/>
  <c r="G77" i="4"/>
  <c r="F77" i="4"/>
  <c r="J76" i="4"/>
  <c r="I76" i="4"/>
  <c r="H76" i="4"/>
  <c r="G76" i="4"/>
  <c r="F76" i="4"/>
  <c r="J75" i="4"/>
  <c r="I75" i="4"/>
  <c r="H75" i="4"/>
  <c r="F75" i="4"/>
  <c r="J74" i="4"/>
  <c r="I74" i="4"/>
  <c r="H74" i="4"/>
  <c r="F74" i="4"/>
  <c r="J73" i="4"/>
  <c r="I73" i="4"/>
  <c r="H73" i="4"/>
  <c r="F73" i="4"/>
  <c r="J72" i="4"/>
  <c r="I72" i="4"/>
  <c r="H72" i="4"/>
  <c r="F72" i="4"/>
  <c r="J71" i="4"/>
  <c r="I71" i="4"/>
  <c r="H71" i="4"/>
  <c r="F71" i="4"/>
  <c r="J70" i="4"/>
  <c r="I70" i="4"/>
  <c r="H70" i="4"/>
  <c r="F70" i="4"/>
  <c r="J69" i="4"/>
  <c r="I69" i="4"/>
  <c r="H69" i="4"/>
  <c r="F69" i="4"/>
  <c r="J68" i="4"/>
  <c r="I68" i="4"/>
  <c r="H68" i="4"/>
  <c r="F68" i="4"/>
  <c r="J67" i="4"/>
  <c r="I67" i="4"/>
  <c r="H67" i="4"/>
  <c r="F67" i="4"/>
  <c r="J66" i="4"/>
  <c r="I66" i="4"/>
  <c r="H66" i="4"/>
  <c r="F66" i="4"/>
  <c r="J65" i="4"/>
  <c r="I65" i="4"/>
  <c r="H65" i="4"/>
  <c r="F65" i="4"/>
  <c r="J64" i="4"/>
  <c r="I64" i="4"/>
  <c r="H64" i="4"/>
  <c r="F64" i="4"/>
  <c r="J63" i="4"/>
  <c r="I63" i="4"/>
  <c r="H63" i="4"/>
  <c r="F63" i="4"/>
  <c r="J62" i="4"/>
  <c r="I62" i="4"/>
  <c r="H62" i="4"/>
  <c r="F62" i="4"/>
  <c r="J61" i="4"/>
  <c r="I61" i="4"/>
  <c r="H61" i="4"/>
  <c r="F61" i="4"/>
  <c r="J60" i="4"/>
  <c r="I60" i="4"/>
  <c r="H60" i="4"/>
  <c r="G60" i="4"/>
  <c r="F60" i="4"/>
  <c r="D60" i="4"/>
  <c r="J59" i="4"/>
  <c r="I59" i="4"/>
  <c r="H59" i="4"/>
  <c r="G59" i="4"/>
  <c r="F59" i="4"/>
  <c r="D59" i="4"/>
  <c r="J58" i="4"/>
  <c r="I58" i="4"/>
  <c r="H58" i="4"/>
  <c r="G58" i="4"/>
  <c r="F58" i="4"/>
  <c r="D58" i="4"/>
  <c r="J57" i="4"/>
  <c r="I57" i="4"/>
  <c r="H57" i="4"/>
  <c r="G57" i="4"/>
  <c r="F57" i="4"/>
  <c r="D57" i="4"/>
  <c r="J56" i="4"/>
  <c r="I56" i="4"/>
  <c r="H56" i="4"/>
  <c r="G56" i="4"/>
  <c r="F56" i="4"/>
  <c r="D56" i="4"/>
  <c r="J55" i="4"/>
  <c r="I55" i="4"/>
  <c r="H55" i="4"/>
  <c r="G55" i="4"/>
  <c r="F55" i="4"/>
  <c r="J54" i="4"/>
  <c r="I54" i="4"/>
  <c r="H54" i="4"/>
  <c r="G54" i="4"/>
  <c r="F54" i="4"/>
  <c r="J53" i="4"/>
  <c r="I53" i="4"/>
  <c r="H53" i="4"/>
  <c r="G53" i="4"/>
  <c r="F53" i="4"/>
  <c r="J52" i="4"/>
  <c r="I52" i="4"/>
  <c r="H52" i="4"/>
  <c r="G52" i="4"/>
  <c r="F52" i="4"/>
  <c r="J51" i="4"/>
  <c r="I51" i="4"/>
  <c r="H51" i="4"/>
  <c r="G51" i="4"/>
  <c r="F51" i="4"/>
  <c r="J50" i="4"/>
  <c r="I50" i="4"/>
  <c r="H50" i="4"/>
  <c r="G50" i="4"/>
  <c r="F50" i="4"/>
  <c r="J49" i="4"/>
  <c r="I49" i="4"/>
  <c r="H49" i="4"/>
  <c r="G49" i="4"/>
  <c r="F49" i="4"/>
  <c r="J48" i="4"/>
  <c r="I48" i="4"/>
  <c r="H48" i="4"/>
  <c r="G48" i="4"/>
  <c r="F48" i="4"/>
  <c r="J47" i="4"/>
  <c r="I47" i="4"/>
  <c r="H47" i="4"/>
  <c r="G47" i="4"/>
  <c r="F47" i="4"/>
  <c r="J46" i="4"/>
  <c r="I46" i="4"/>
  <c r="H46" i="4"/>
  <c r="G46" i="4"/>
  <c r="F46" i="4"/>
  <c r="J45" i="4"/>
  <c r="I45" i="4"/>
  <c r="H45" i="4"/>
  <c r="G45" i="4"/>
  <c r="F45" i="4"/>
  <c r="J44" i="4"/>
  <c r="I44" i="4"/>
  <c r="H44" i="4"/>
  <c r="G44" i="4"/>
  <c r="F44" i="4"/>
  <c r="J43" i="4"/>
  <c r="I43" i="4"/>
  <c r="H43" i="4"/>
  <c r="G43" i="4"/>
  <c r="F43" i="4"/>
  <c r="J42" i="4"/>
  <c r="I42" i="4"/>
  <c r="H42" i="4"/>
  <c r="G42" i="4"/>
  <c r="F42" i="4"/>
  <c r="J41" i="4"/>
  <c r="I41" i="4"/>
  <c r="H41" i="4"/>
  <c r="G41" i="4"/>
  <c r="F41" i="4"/>
  <c r="J40" i="4"/>
  <c r="I40" i="4"/>
  <c r="H40" i="4"/>
  <c r="G40" i="4"/>
  <c r="F40" i="4"/>
  <c r="J39" i="4"/>
  <c r="I39" i="4"/>
  <c r="H39" i="4"/>
  <c r="G39" i="4"/>
  <c r="F39" i="4"/>
  <c r="J38" i="4"/>
  <c r="I38" i="4"/>
  <c r="H38" i="4"/>
  <c r="G38" i="4"/>
  <c r="F38" i="4"/>
  <c r="J37" i="4"/>
  <c r="I37" i="4"/>
  <c r="H37" i="4"/>
  <c r="G37" i="4"/>
  <c r="F37" i="4"/>
  <c r="J36" i="4"/>
  <c r="I36" i="4"/>
  <c r="H36" i="4"/>
  <c r="G36" i="4"/>
  <c r="F36" i="4"/>
  <c r="J35" i="4"/>
  <c r="I35" i="4"/>
  <c r="H35" i="4"/>
  <c r="G35" i="4"/>
  <c r="F35" i="4"/>
  <c r="J34" i="4"/>
  <c r="I34" i="4"/>
  <c r="H34" i="4"/>
  <c r="G34" i="4"/>
  <c r="F34" i="4"/>
  <c r="J33" i="4"/>
  <c r="I33" i="4"/>
  <c r="H33" i="4"/>
  <c r="G33" i="4"/>
  <c r="F33" i="4"/>
  <c r="J32" i="4"/>
  <c r="I32" i="4"/>
  <c r="H32" i="4"/>
  <c r="G32" i="4"/>
  <c r="F32" i="4"/>
  <c r="D32" i="4"/>
  <c r="J31" i="4"/>
  <c r="I31" i="4"/>
  <c r="H31" i="4"/>
  <c r="G31" i="4"/>
  <c r="F31" i="4"/>
  <c r="D31" i="4"/>
  <c r="J30" i="4"/>
  <c r="I30" i="4"/>
  <c r="H30" i="4"/>
  <c r="G30" i="4"/>
  <c r="F30" i="4"/>
  <c r="D30" i="4"/>
  <c r="J29" i="4"/>
  <c r="I29" i="4"/>
  <c r="H29" i="4"/>
  <c r="G29" i="4"/>
  <c r="F29" i="4"/>
  <c r="J28" i="4"/>
  <c r="I28" i="4"/>
  <c r="H28" i="4"/>
  <c r="G28" i="4"/>
  <c r="F28" i="4"/>
  <c r="J27" i="4"/>
  <c r="I27" i="4"/>
  <c r="H27" i="4"/>
  <c r="G27" i="4"/>
  <c r="F27" i="4"/>
  <c r="J26" i="4"/>
  <c r="I26" i="4"/>
  <c r="H26" i="4"/>
  <c r="G26" i="4"/>
  <c r="F26" i="4"/>
  <c r="J25" i="4"/>
  <c r="I25" i="4"/>
  <c r="H25" i="4"/>
  <c r="G25" i="4"/>
  <c r="F25" i="4"/>
  <c r="J24" i="4"/>
  <c r="I24" i="4"/>
  <c r="H24" i="4"/>
  <c r="G24" i="4"/>
  <c r="F24" i="4"/>
  <c r="J23" i="4"/>
  <c r="I23" i="4"/>
  <c r="H23" i="4"/>
  <c r="G23" i="4"/>
  <c r="F23" i="4"/>
  <c r="J22" i="4"/>
  <c r="I22" i="4"/>
  <c r="H22" i="4"/>
  <c r="G22" i="4"/>
  <c r="F22" i="4"/>
  <c r="J21" i="4"/>
  <c r="I21" i="4"/>
  <c r="H21" i="4"/>
  <c r="G21" i="4"/>
  <c r="F21" i="4"/>
  <c r="J20" i="4"/>
  <c r="I20" i="4"/>
  <c r="H20" i="4"/>
  <c r="G20" i="4"/>
  <c r="F20" i="4"/>
  <c r="J19" i="4"/>
  <c r="I19" i="4"/>
  <c r="H19" i="4"/>
  <c r="G19" i="4"/>
  <c r="F19" i="4"/>
  <c r="J18" i="4"/>
  <c r="I18" i="4"/>
  <c r="H18" i="4"/>
  <c r="G18" i="4"/>
  <c r="F18" i="4"/>
  <c r="J17" i="4"/>
  <c r="I17" i="4"/>
  <c r="H17" i="4"/>
  <c r="G17" i="4"/>
  <c r="F17" i="4"/>
  <c r="J16" i="4"/>
  <c r="I16" i="4"/>
  <c r="H16" i="4"/>
  <c r="G16" i="4"/>
  <c r="F16" i="4"/>
  <c r="J15" i="4"/>
  <c r="I15" i="4"/>
  <c r="H15" i="4"/>
  <c r="G15" i="4"/>
  <c r="F15" i="4"/>
  <c r="J14" i="4"/>
  <c r="I14" i="4"/>
  <c r="H14" i="4"/>
  <c r="G14" i="4"/>
  <c r="F14" i="4"/>
  <c r="J13" i="4"/>
  <c r="I13" i="4"/>
  <c r="H13" i="4"/>
  <c r="G13" i="4"/>
  <c r="J12" i="4"/>
  <c r="I12" i="4"/>
  <c r="H12" i="4"/>
  <c r="G12" i="4"/>
  <c r="J11" i="4"/>
  <c r="I11" i="4"/>
  <c r="H11" i="4"/>
  <c r="G11" i="4"/>
  <c r="J10" i="4"/>
  <c r="I10" i="4"/>
  <c r="H10" i="4"/>
  <c r="G10" i="4"/>
  <c r="F10" i="4"/>
  <c r="J9" i="4"/>
  <c r="I9" i="4"/>
  <c r="H9" i="4"/>
  <c r="G9" i="4"/>
  <c r="F9" i="4"/>
  <c r="J8" i="4"/>
  <c r="I8" i="4"/>
  <c r="H8" i="4"/>
  <c r="G8" i="4"/>
  <c r="F8" i="4"/>
  <c r="J7" i="4"/>
  <c r="I7" i="4"/>
  <c r="H7" i="4"/>
  <c r="G7" i="4"/>
  <c r="F7" i="4"/>
  <c r="J6" i="4"/>
  <c r="I6" i="4"/>
  <c r="H6" i="4"/>
  <c r="G6" i="4"/>
  <c r="F6" i="4"/>
  <c r="J5" i="4"/>
  <c r="I5" i="4"/>
  <c r="H5" i="4"/>
  <c r="G5" i="4"/>
  <c r="J4" i="4"/>
  <c r="I4" i="4"/>
  <c r="H4" i="4"/>
  <c r="G4" i="4"/>
  <c r="J3" i="4"/>
  <c r="I3" i="4"/>
  <c r="H3" i="4"/>
  <c r="G3" i="4"/>
  <c r="J895" i="2"/>
  <c r="J896" i="2" s="1"/>
  <c r="I895" i="2"/>
  <c r="I896" i="2" s="1"/>
  <c r="H895" i="2"/>
  <c r="H896" i="2" s="1"/>
  <c r="G895" i="2"/>
  <c r="G896" i="2" s="1"/>
  <c r="F895" i="2"/>
  <c r="F896" i="2" s="1"/>
  <c r="E895" i="2"/>
  <c r="E896" i="2" s="1"/>
  <c r="D895" i="2"/>
  <c r="D896" i="2" s="1"/>
  <c r="J909" i="2"/>
  <c r="J910" i="2" s="1"/>
  <c r="I909" i="2"/>
  <c r="I910" i="2" s="1"/>
  <c r="H909" i="2"/>
  <c r="H910" i="2" s="1"/>
  <c r="G909" i="2"/>
  <c r="G910" i="2" s="1"/>
  <c r="F909" i="2"/>
  <c r="F910" i="2" s="1"/>
  <c r="E909" i="2"/>
  <c r="E910" i="2" s="1"/>
  <c r="D909" i="2"/>
  <c r="D910" i="2" s="1"/>
  <c r="J888" i="2"/>
  <c r="J889" i="2" s="1"/>
  <c r="I888" i="2"/>
  <c r="I889" i="2" s="1"/>
  <c r="H888" i="2"/>
  <c r="H889" i="2" s="1"/>
  <c r="G888" i="2"/>
  <c r="G889" i="2" s="1"/>
  <c r="F888" i="2"/>
  <c r="F889" i="2" s="1"/>
  <c r="E888" i="2"/>
  <c r="E889" i="2" s="1"/>
  <c r="D888" i="2"/>
  <c r="D889" i="2" s="1"/>
  <c r="J902" i="2"/>
  <c r="J903" i="2" s="1"/>
  <c r="I902" i="2"/>
  <c r="I903" i="2" s="1"/>
  <c r="H902" i="2"/>
  <c r="H903" i="2" s="1"/>
  <c r="G902" i="2"/>
  <c r="G903" i="2" s="1"/>
  <c r="F902" i="2"/>
  <c r="F903" i="2" s="1"/>
  <c r="E902" i="2"/>
  <c r="E903" i="2" s="1"/>
  <c r="D902" i="2"/>
  <c r="D903" i="2" s="1"/>
  <c r="J881" i="2"/>
  <c r="J882" i="2" s="1"/>
  <c r="I881" i="2"/>
  <c r="I882" i="2" s="1"/>
  <c r="H881" i="2"/>
  <c r="H882" i="2" s="1"/>
  <c r="G881" i="2"/>
  <c r="G882" i="2" s="1"/>
  <c r="F881" i="2"/>
  <c r="F882" i="2" s="1"/>
  <c r="E881" i="2"/>
  <c r="E882" i="2" s="1"/>
  <c r="D881" i="2"/>
  <c r="D882" i="2" s="1"/>
  <c r="J874" i="2"/>
  <c r="J875" i="2" s="1"/>
  <c r="I874" i="2"/>
  <c r="I875" i="2" s="1"/>
  <c r="H874" i="2"/>
  <c r="H875" i="2" s="1"/>
  <c r="G874" i="2"/>
  <c r="G875" i="2" s="1"/>
  <c r="F874" i="2"/>
  <c r="F875" i="2" s="1"/>
  <c r="E874" i="2"/>
  <c r="E875" i="2" s="1"/>
  <c r="D874" i="2"/>
  <c r="D875" i="2" s="1"/>
  <c r="J867" i="2"/>
  <c r="J868" i="2" s="1"/>
  <c r="I867" i="2"/>
  <c r="I868" i="2" s="1"/>
  <c r="H867" i="2"/>
  <c r="H868" i="2" s="1"/>
  <c r="G867" i="2"/>
  <c r="G868" i="2" s="1"/>
  <c r="F867" i="2"/>
  <c r="F868" i="2" s="1"/>
  <c r="E867" i="2"/>
  <c r="E868" i="2" s="1"/>
  <c r="D867" i="2"/>
  <c r="D868" i="2" s="1"/>
  <c r="J860" i="2"/>
  <c r="J861" i="2" s="1"/>
  <c r="I860" i="2"/>
  <c r="I861" i="2" s="1"/>
  <c r="H860" i="2"/>
  <c r="H861" i="2" s="1"/>
  <c r="G860" i="2"/>
  <c r="G861" i="2" s="1"/>
  <c r="F860" i="2"/>
  <c r="F861" i="2" s="1"/>
  <c r="E860" i="2"/>
  <c r="E861" i="2" s="1"/>
  <c r="D860" i="2"/>
  <c r="D861" i="2" s="1"/>
  <c r="J853" i="2"/>
  <c r="J854" i="2" s="1"/>
  <c r="I853" i="2"/>
  <c r="I854" i="2" s="1"/>
  <c r="H853" i="2"/>
  <c r="H854" i="2" s="1"/>
  <c r="G853" i="2"/>
  <c r="G854" i="2" s="1"/>
  <c r="F853" i="2"/>
  <c r="F854" i="2" s="1"/>
  <c r="E853" i="2"/>
  <c r="E854" i="2" s="1"/>
  <c r="D853" i="2"/>
  <c r="D854" i="2" s="1"/>
  <c r="J846" i="2"/>
  <c r="J847" i="2" s="1"/>
  <c r="I846" i="2"/>
  <c r="I847" i="2" s="1"/>
  <c r="H846" i="2"/>
  <c r="H847" i="2" s="1"/>
  <c r="G846" i="2"/>
  <c r="G847" i="2" s="1"/>
  <c r="F846" i="2"/>
  <c r="F847" i="2" s="1"/>
  <c r="E846" i="2"/>
  <c r="E847" i="2" s="1"/>
  <c r="D846" i="2"/>
  <c r="D847" i="2" s="1"/>
  <c r="J839" i="2"/>
  <c r="J840" i="2" s="1"/>
  <c r="I839" i="2"/>
  <c r="I840" i="2" s="1"/>
  <c r="H839" i="2"/>
  <c r="H840" i="2" s="1"/>
  <c r="G839" i="2"/>
  <c r="G840" i="2" s="1"/>
  <c r="F839" i="2"/>
  <c r="F840" i="2" s="1"/>
  <c r="E839" i="2"/>
  <c r="E840" i="2" s="1"/>
  <c r="D839" i="2"/>
  <c r="D840" i="2" s="1"/>
  <c r="J832" i="2"/>
  <c r="J833" i="2" s="1"/>
  <c r="I832" i="2"/>
  <c r="I833" i="2" s="1"/>
  <c r="H832" i="2"/>
  <c r="H833" i="2" s="1"/>
  <c r="G832" i="2"/>
  <c r="G833" i="2" s="1"/>
  <c r="F832" i="2"/>
  <c r="F833" i="2" s="1"/>
  <c r="E832" i="2"/>
  <c r="E833" i="2" s="1"/>
  <c r="D832" i="2"/>
  <c r="D833" i="2" s="1"/>
  <c r="J825" i="2"/>
  <c r="J826" i="2" s="1"/>
  <c r="I825" i="2"/>
  <c r="I826" i="2" s="1"/>
  <c r="H825" i="2"/>
  <c r="H826" i="2" s="1"/>
  <c r="G825" i="2"/>
  <c r="G826" i="2" s="1"/>
  <c r="F825" i="2"/>
  <c r="F826" i="2" s="1"/>
  <c r="E825" i="2"/>
  <c r="E826" i="2" s="1"/>
  <c r="D825" i="2"/>
  <c r="D826" i="2" s="1"/>
  <c r="J818" i="2"/>
  <c r="J819" i="2" s="1"/>
  <c r="I818" i="2"/>
  <c r="I819" i="2" s="1"/>
  <c r="H818" i="2"/>
  <c r="H819" i="2" s="1"/>
  <c r="G818" i="2"/>
  <c r="G819" i="2" s="1"/>
  <c r="F818" i="2"/>
  <c r="F819" i="2" s="1"/>
  <c r="E818" i="2"/>
  <c r="E819" i="2" s="1"/>
  <c r="D818" i="2"/>
  <c r="D819" i="2" s="1"/>
  <c r="J811" i="2"/>
  <c r="J812" i="2" s="1"/>
  <c r="I811" i="2"/>
  <c r="I812" i="2" s="1"/>
  <c r="H811" i="2"/>
  <c r="H812" i="2" s="1"/>
  <c r="G811" i="2"/>
  <c r="G812" i="2" s="1"/>
  <c r="F811" i="2"/>
  <c r="F812" i="2" s="1"/>
  <c r="E811" i="2"/>
  <c r="E812" i="2" s="1"/>
  <c r="D811" i="2"/>
  <c r="D812" i="2" s="1"/>
  <c r="J804" i="2"/>
  <c r="J805" i="2" s="1"/>
  <c r="I804" i="2"/>
  <c r="I805" i="2" s="1"/>
  <c r="H804" i="2"/>
  <c r="H805" i="2" s="1"/>
  <c r="G804" i="2"/>
  <c r="G805" i="2" s="1"/>
  <c r="F804" i="2"/>
  <c r="F805" i="2" s="1"/>
  <c r="E804" i="2"/>
  <c r="E805" i="2" s="1"/>
  <c r="D804" i="2"/>
  <c r="D805" i="2" s="1"/>
  <c r="J797" i="2"/>
  <c r="J798" i="2" s="1"/>
  <c r="I797" i="2"/>
  <c r="I798" i="2" s="1"/>
  <c r="H797" i="2"/>
  <c r="H798" i="2" s="1"/>
  <c r="G797" i="2"/>
  <c r="G798" i="2" s="1"/>
  <c r="F797" i="2"/>
  <c r="F798" i="2" s="1"/>
  <c r="E797" i="2"/>
  <c r="E798" i="2" s="1"/>
  <c r="D797" i="2"/>
  <c r="D798" i="2" s="1"/>
  <c r="J790" i="2"/>
  <c r="J791" i="2" s="1"/>
  <c r="I790" i="2"/>
  <c r="I791" i="2" s="1"/>
  <c r="H790" i="2"/>
  <c r="H791" i="2" s="1"/>
  <c r="G790" i="2"/>
  <c r="G791" i="2" s="1"/>
  <c r="F790" i="2"/>
  <c r="F791" i="2" s="1"/>
  <c r="E790" i="2"/>
  <c r="E791" i="2" s="1"/>
  <c r="D790" i="2"/>
  <c r="D791" i="2" s="1"/>
  <c r="J783" i="2"/>
  <c r="J784" i="2" s="1"/>
  <c r="I783" i="2"/>
  <c r="I784" i="2" s="1"/>
  <c r="H783" i="2"/>
  <c r="H784" i="2" s="1"/>
  <c r="G783" i="2"/>
  <c r="G784" i="2" s="1"/>
  <c r="F783" i="2"/>
  <c r="F784" i="2" s="1"/>
  <c r="E783" i="2"/>
  <c r="E784" i="2" s="1"/>
  <c r="D783" i="2"/>
  <c r="D784" i="2" s="1"/>
  <c r="J776" i="2"/>
  <c r="J777" i="2" s="1"/>
  <c r="I776" i="2"/>
  <c r="I777" i="2" s="1"/>
  <c r="H776" i="2"/>
  <c r="H777" i="2" s="1"/>
  <c r="G776" i="2"/>
  <c r="G777" i="2" s="1"/>
  <c r="F776" i="2"/>
  <c r="F777" i="2" s="1"/>
  <c r="E776" i="2"/>
  <c r="E777" i="2" s="1"/>
  <c r="D776" i="2"/>
  <c r="D777" i="2" s="1"/>
  <c r="J769" i="2"/>
  <c r="J770" i="2" s="1"/>
  <c r="I769" i="2"/>
  <c r="I770" i="2" s="1"/>
  <c r="H769" i="2"/>
  <c r="H770" i="2" s="1"/>
  <c r="G769" i="2"/>
  <c r="G770" i="2" s="1"/>
  <c r="F769" i="2"/>
  <c r="F770" i="2" s="1"/>
  <c r="E769" i="2"/>
  <c r="E770" i="2" s="1"/>
  <c r="D769" i="2"/>
  <c r="D770" i="2" s="1"/>
  <c r="J762" i="2"/>
  <c r="J763" i="2" s="1"/>
  <c r="I762" i="2"/>
  <c r="I763" i="2" s="1"/>
  <c r="H762" i="2"/>
  <c r="H763" i="2" s="1"/>
  <c r="G762" i="2"/>
  <c r="G763" i="2" s="1"/>
  <c r="F762" i="2"/>
  <c r="F763" i="2" s="1"/>
  <c r="E762" i="2"/>
  <c r="E763" i="2" s="1"/>
  <c r="D762" i="2"/>
  <c r="D763" i="2" s="1"/>
  <c r="J755" i="2"/>
  <c r="J756" i="2" s="1"/>
  <c r="I755" i="2"/>
  <c r="I756" i="2" s="1"/>
  <c r="H755" i="2"/>
  <c r="H756" i="2" s="1"/>
  <c r="G755" i="2"/>
  <c r="G756" i="2" s="1"/>
  <c r="F755" i="2"/>
  <c r="F756" i="2" s="1"/>
  <c r="E755" i="2"/>
  <c r="E756" i="2" s="1"/>
  <c r="D755" i="2"/>
  <c r="D756" i="2" s="1"/>
  <c r="J748" i="2"/>
  <c r="J749" i="2" s="1"/>
  <c r="I748" i="2"/>
  <c r="I749" i="2" s="1"/>
  <c r="H748" i="2"/>
  <c r="H749" i="2" s="1"/>
  <c r="G748" i="2"/>
  <c r="G749" i="2" s="1"/>
  <c r="F748" i="2"/>
  <c r="F749" i="2" s="1"/>
  <c r="E748" i="2"/>
  <c r="E749" i="2" s="1"/>
  <c r="D748" i="2"/>
  <c r="D749" i="2" s="1"/>
  <c r="J741" i="2"/>
  <c r="J742" i="2" s="1"/>
  <c r="I741" i="2"/>
  <c r="I742" i="2" s="1"/>
  <c r="H741" i="2"/>
  <c r="H742" i="2" s="1"/>
  <c r="G741" i="2"/>
  <c r="G742" i="2" s="1"/>
  <c r="F741" i="2"/>
  <c r="F742" i="2" s="1"/>
  <c r="E741" i="2"/>
  <c r="E742" i="2" s="1"/>
  <c r="D741" i="2"/>
  <c r="D742" i="2" s="1"/>
  <c r="J734" i="2"/>
  <c r="J735" i="2" s="1"/>
  <c r="I734" i="2"/>
  <c r="I735" i="2" s="1"/>
  <c r="H734" i="2"/>
  <c r="H735" i="2" s="1"/>
  <c r="G734" i="2"/>
  <c r="G735" i="2" s="1"/>
  <c r="F734" i="2"/>
  <c r="F735" i="2" s="1"/>
  <c r="E734" i="2"/>
  <c r="E735" i="2" s="1"/>
  <c r="D734" i="2"/>
  <c r="D735" i="2" s="1"/>
  <c r="J727" i="2"/>
  <c r="J728" i="2" s="1"/>
  <c r="I727" i="2"/>
  <c r="I728" i="2" s="1"/>
  <c r="H727" i="2"/>
  <c r="H728" i="2" s="1"/>
  <c r="G727" i="2"/>
  <c r="G728" i="2" s="1"/>
  <c r="F727" i="2"/>
  <c r="F728" i="2" s="1"/>
  <c r="E727" i="2"/>
  <c r="E728" i="2" s="1"/>
  <c r="D727" i="2"/>
  <c r="D728" i="2" s="1"/>
  <c r="J720" i="2"/>
  <c r="I720" i="2"/>
  <c r="I721" i="2" s="1"/>
  <c r="H720" i="2"/>
  <c r="H721" i="2" s="1"/>
  <c r="G720" i="2"/>
  <c r="G721" i="2" s="1"/>
  <c r="F720" i="2"/>
  <c r="F721" i="2" s="1"/>
  <c r="E720" i="2"/>
  <c r="E721" i="2" s="1"/>
  <c r="D720" i="2"/>
  <c r="D721" i="2" s="1"/>
  <c r="J706" i="2"/>
  <c r="J713" i="2"/>
  <c r="J714" i="2" s="1"/>
  <c r="I713" i="2"/>
  <c r="I714" i="2" s="1"/>
  <c r="H713" i="2"/>
  <c r="H714" i="2" s="1"/>
  <c r="G713" i="2"/>
  <c r="G714" i="2" s="1"/>
  <c r="F713" i="2"/>
  <c r="F714" i="2" s="1"/>
  <c r="E713" i="2"/>
  <c r="E714" i="2" s="1"/>
  <c r="D713" i="2"/>
  <c r="D714" i="2" s="1"/>
  <c r="I706" i="2"/>
  <c r="I707" i="2" s="1"/>
  <c r="H706" i="2"/>
  <c r="H707" i="2" s="1"/>
  <c r="G706" i="2"/>
  <c r="G707" i="2" s="1"/>
  <c r="F706" i="2"/>
  <c r="F707" i="2" s="1"/>
  <c r="E706" i="2"/>
  <c r="E707" i="2" s="1"/>
  <c r="D706" i="2"/>
  <c r="D707" i="2" s="1"/>
  <c r="I699" i="2"/>
  <c r="I700" i="2" s="1"/>
  <c r="H699" i="2"/>
  <c r="H700" i="2" s="1"/>
  <c r="G699" i="2"/>
  <c r="G700" i="2" s="1"/>
  <c r="F699" i="2"/>
  <c r="F700" i="2" s="1"/>
  <c r="E699" i="2"/>
  <c r="E700" i="2" s="1"/>
  <c r="D699" i="2"/>
  <c r="D700" i="2" s="1"/>
  <c r="I692" i="2"/>
  <c r="I693" i="2" s="1"/>
  <c r="H692" i="2"/>
  <c r="H693" i="2" s="1"/>
  <c r="G692" i="2"/>
  <c r="G693" i="2" s="1"/>
  <c r="F692" i="2"/>
  <c r="F693" i="2" s="1"/>
  <c r="E692" i="2"/>
  <c r="E693" i="2" s="1"/>
  <c r="D692" i="2"/>
  <c r="D693" i="2" s="1"/>
  <c r="I685" i="2"/>
  <c r="I686" i="2" s="1"/>
  <c r="H685" i="2"/>
  <c r="H686" i="2" s="1"/>
  <c r="G685" i="2"/>
  <c r="G686" i="2" s="1"/>
  <c r="F685" i="2"/>
  <c r="F686" i="2" s="1"/>
  <c r="E685" i="2"/>
  <c r="E686" i="2" s="1"/>
  <c r="D685" i="2"/>
  <c r="D686" i="2" s="1"/>
  <c r="I678" i="2"/>
  <c r="I679" i="2" s="1"/>
  <c r="H678" i="2"/>
  <c r="H679" i="2" s="1"/>
  <c r="G678" i="2"/>
  <c r="G679" i="2" s="1"/>
  <c r="F678" i="2"/>
  <c r="F679" i="2" s="1"/>
  <c r="E678" i="2"/>
  <c r="E679" i="2" s="1"/>
  <c r="D678" i="2"/>
  <c r="D679" i="2" s="1"/>
  <c r="I671" i="2"/>
  <c r="I672" i="2" s="1"/>
  <c r="H671" i="2"/>
  <c r="H672" i="2" s="1"/>
  <c r="G671" i="2"/>
  <c r="G672" i="2" s="1"/>
  <c r="F671" i="2"/>
  <c r="F672" i="2" s="1"/>
  <c r="E671" i="2"/>
  <c r="E672" i="2" s="1"/>
  <c r="D671" i="2"/>
  <c r="D672" i="2" s="1"/>
  <c r="I664" i="2"/>
  <c r="I665" i="2" s="1"/>
  <c r="H664" i="2"/>
  <c r="H665" i="2" s="1"/>
  <c r="G664" i="2"/>
  <c r="G665" i="2" s="1"/>
  <c r="F664" i="2"/>
  <c r="F665" i="2" s="1"/>
  <c r="E664" i="2"/>
  <c r="E665" i="2" s="1"/>
  <c r="D664" i="2"/>
  <c r="D665" i="2" s="1"/>
  <c r="I650" i="2"/>
  <c r="I651" i="2" s="1"/>
  <c r="H650" i="2"/>
  <c r="H651" i="2" s="1"/>
  <c r="G650" i="2"/>
  <c r="G651" i="2" s="1"/>
  <c r="F650" i="2"/>
  <c r="F651" i="2" s="1"/>
  <c r="E650" i="2"/>
  <c r="E651" i="2" s="1"/>
  <c r="D650" i="2"/>
  <c r="D651" i="2" s="1"/>
  <c r="I657" i="2"/>
  <c r="I658" i="2" s="1"/>
  <c r="H657" i="2"/>
  <c r="H658" i="2" s="1"/>
  <c r="G657" i="2"/>
  <c r="G658" i="2" s="1"/>
  <c r="F657" i="2"/>
  <c r="F658" i="2" s="1"/>
  <c r="E657" i="2"/>
  <c r="E658" i="2" s="1"/>
  <c r="D657" i="2"/>
  <c r="D658" i="2" s="1"/>
  <c r="I643" i="2"/>
  <c r="I644" i="2" s="1"/>
  <c r="H643" i="2"/>
  <c r="H644" i="2" s="1"/>
  <c r="G643" i="2"/>
  <c r="G644" i="2" s="1"/>
  <c r="F643" i="2"/>
  <c r="F644" i="2" s="1"/>
  <c r="E643" i="2"/>
  <c r="E644" i="2" s="1"/>
  <c r="D643" i="2"/>
  <c r="D644" i="2" s="1"/>
  <c r="I636" i="2"/>
  <c r="I637" i="2" s="1"/>
  <c r="H636" i="2"/>
  <c r="H637" i="2" s="1"/>
  <c r="G636" i="2"/>
  <c r="G637" i="2" s="1"/>
  <c r="F636" i="2"/>
  <c r="F637" i="2" s="1"/>
  <c r="E636" i="2"/>
  <c r="E637" i="2" s="1"/>
  <c r="D636" i="2"/>
  <c r="D637" i="2" s="1"/>
  <c r="I629" i="2"/>
  <c r="I630" i="2" s="1"/>
  <c r="H629" i="2"/>
  <c r="H630" i="2" s="1"/>
  <c r="G629" i="2"/>
  <c r="G630" i="2" s="1"/>
  <c r="F629" i="2"/>
  <c r="F630" i="2" s="1"/>
  <c r="E629" i="2"/>
  <c r="E630" i="2" s="1"/>
  <c r="D629" i="2"/>
  <c r="D630" i="2" s="1"/>
  <c r="I622" i="2"/>
  <c r="I623" i="2" s="1"/>
  <c r="H622" i="2"/>
  <c r="H623" i="2" s="1"/>
  <c r="G622" i="2"/>
  <c r="G623" i="2" s="1"/>
  <c r="F622" i="2"/>
  <c r="F623" i="2" s="1"/>
  <c r="E622" i="2"/>
  <c r="E623" i="2" s="1"/>
  <c r="D622" i="2"/>
  <c r="D623" i="2" s="1"/>
  <c r="I601" i="2"/>
  <c r="I602" i="2" s="1"/>
  <c r="H601" i="2"/>
  <c r="H602" i="2" s="1"/>
  <c r="G601" i="2"/>
  <c r="G602" i="2" s="1"/>
  <c r="F601" i="2"/>
  <c r="F602" i="2" s="1"/>
  <c r="E601" i="2"/>
  <c r="E602" i="2" s="1"/>
  <c r="D601" i="2"/>
  <c r="D602" i="2" s="1"/>
  <c r="I608" i="2"/>
  <c r="I609" i="2" s="1"/>
  <c r="H608" i="2"/>
  <c r="H609" i="2" s="1"/>
  <c r="G608" i="2"/>
  <c r="G609" i="2" s="1"/>
  <c r="F608" i="2"/>
  <c r="F609" i="2" s="1"/>
  <c r="E608" i="2"/>
  <c r="E609" i="2" s="1"/>
  <c r="D608" i="2"/>
  <c r="D609" i="2" s="1"/>
  <c r="I615" i="2"/>
  <c r="I616" i="2" s="1"/>
  <c r="H615" i="2"/>
  <c r="H616" i="2" s="1"/>
  <c r="G615" i="2"/>
  <c r="G616" i="2" s="1"/>
  <c r="F615" i="2"/>
  <c r="F616" i="2" s="1"/>
  <c r="E615" i="2"/>
  <c r="E616" i="2" s="1"/>
  <c r="D615" i="2"/>
  <c r="D616" i="2" s="1"/>
  <c r="I594" i="2"/>
  <c r="I595" i="2" s="1"/>
  <c r="H594" i="2"/>
  <c r="H595" i="2" s="1"/>
  <c r="G594" i="2"/>
  <c r="G595" i="2" s="1"/>
  <c r="F594" i="2"/>
  <c r="F595" i="2" s="1"/>
  <c r="E594" i="2"/>
  <c r="E595" i="2" s="1"/>
  <c r="D594" i="2"/>
  <c r="D595" i="2" s="1"/>
  <c r="I587" i="2"/>
  <c r="I588" i="2" s="1"/>
  <c r="H587" i="2"/>
  <c r="H588" i="2" s="1"/>
  <c r="G587" i="2"/>
  <c r="G588" i="2" s="1"/>
  <c r="F587" i="2"/>
  <c r="F588" i="2" s="1"/>
  <c r="E587" i="2"/>
  <c r="E588" i="2" s="1"/>
  <c r="D587" i="2"/>
  <c r="D588" i="2" s="1"/>
  <c r="I580" i="2"/>
  <c r="I581" i="2" s="1"/>
  <c r="H580" i="2"/>
  <c r="H581" i="2" s="1"/>
  <c r="G580" i="2"/>
  <c r="G581" i="2" s="1"/>
  <c r="F580" i="2"/>
  <c r="F581" i="2" s="1"/>
  <c r="E580" i="2"/>
  <c r="E581" i="2" s="1"/>
  <c r="D580" i="2"/>
  <c r="D581" i="2" s="1"/>
  <c r="I573" i="2"/>
  <c r="I574" i="2" s="1"/>
  <c r="H573" i="2"/>
  <c r="H574" i="2" s="1"/>
  <c r="G573" i="2"/>
  <c r="G574" i="2" s="1"/>
  <c r="F573" i="2"/>
  <c r="F574" i="2" s="1"/>
  <c r="E573" i="2"/>
  <c r="E574" i="2" s="1"/>
  <c r="D573" i="2"/>
  <c r="D574" i="2" s="1"/>
  <c r="I566" i="2"/>
  <c r="I567" i="2" s="1"/>
  <c r="H566" i="2"/>
  <c r="H567" i="2" s="1"/>
  <c r="G566" i="2"/>
  <c r="G567" i="2" s="1"/>
  <c r="F566" i="2"/>
  <c r="F567" i="2" s="1"/>
  <c r="E566" i="2"/>
  <c r="E567" i="2" s="1"/>
  <c r="D566" i="2"/>
  <c r="D567" i="2" s="1"/>
  <c r="I538" i="2"/>
  <c r="I539" i="2" s="1"/>
  <c r="I524" i="2"/>
  <c r="I525" i="2" s="1"/>
  <c r="I531" i="2"/>
  <c r="I532" i="2" s="1"/>
  <c r="I545" i="2"/>
  <c r="I546" i="2" s="1"/>
  <c r="I552" i="2"/>
  <c r="I553" i="2" s="1"/>
  <c r="I559" i="2"/>
  <c r="I560" i="2" s="1"/>
  <c r="I517" i="2"/>
  <c r="I518" i="2" s="1"/>
  <c r="I510" i="2"/>
  <c r="I511" i="2" s="1"/>
  <c r="I503" i="2"/>
  <c r="I504" i="2" s="1"/>
  <c r="I496" i="2"/>
  <c r="I497" i="2" s="1"/>
  <c r="I489" i="2"/>
  <c r="I490" i="2" s="1"/>
  <c r="I482" i="2"/>
  <c r="I483" i="2" s="1"/>
  <c r="I475" i="2"/>
  <c r="I476" i="2" s="1"/>
  <c r="I465" i="2"/>
  <c r="I466" i="2" s="1"/>
  <c r="I458" i="2"/>
  <c r="I459" i="2" s="1"/>
  <c r="I451" i="2"/>
  <c r="I452" i="2" s="1"/>
  <c r="I444" i="2"/>
  <c r="I445" i="2" s="1"/>
  <c r="I6" i="2"/>
  <c r="I13" i="2"/>
  <c r="I14" i="2" s="1"/>
  <c r="I18" i="2"/>
  <c r="I19" i="2" s="1"/>
  <c r="I25" i="2"/>
  <c r="I26" i="2" s="1"/>
  <c r="I33" i="2"/>
  <c r="I34" i="2" s="1"/>
  <c r="I40" i="2"/>
  <c r="I41" i="2" s="1"/>
  <c r="I45" i="2"/>
  <c r="I46" i="2" s="1"/>
  <c r="I53" i="2"/>
  <c r="I54" i="2" s="1"/>
  <c r="I60" i="2"/>
  <c r="I61" i="2" s="1"/>
  <c r="I68" i="2"/>
  <c r="I69" i="2" s="1"/>
  <c r="I76" i="2"/>
  <c r="I77" i="2" s="1"/>
  <c r="I83" i="2"/>
  <c r="I84" i="2" s="1"/>
  <c r="I90" i="2"/>
  <c r="I91" i="2" s="1"/>
  <c r="I97" i="2"/>
  <c r="I98" i="2" s="1"/>
  <c r="I104" i="2"/>
  <c r="I105" i="2" s="1"/>
  <c r="I112" i="2"/>
  <c r="I113" i="2" s="1"/>
  <c r="I119" i="2"/>
  <c r="I120" i="2" s="1"/>
  <c r="I126" i="2"/>
  <c r="I127" i="2" s="1"/>
  <c r="I134" i="2"/>
  <c r="I135" i="2" s="1"/>
  <c r="I139" i="2"/>
  <c r="I140" i="2" s="1"/>
  <c r="I146" i="2"/>
  <c r="I147" i="2" s="1"/>
  <c r="I154" i="2"/>
  <c r="I155" i="2" s="1"/>
  <c r="I161" i="2"/>
  <c r="I162" i="2" s="1"/>
  <c r="I170" i="2"/>
  <c r="I171" i="2" s="1"/>
  <c r="I177" i="2"/>
  <c r="I178" i="2" s="1"/>
  <c r="I184" i="2"/>
  <c r="I185" i="2" s="1"/>
  <c r="I191" i="2"/>
  <c r="I192" i="2" s="1"/>
  <c r="I195" i="2"/>
  <c r="I196" i="2" s="1"/>
  <c r="I202" i="2"/>
  <c r="I203" i="2" s="1"/>
  <c r="I210" i="2"/>
  <c r="I211" i="2" s="1"/>
  <c r="I218" i="2"/>
  <c r="I219" i="2" s="1"/>
  <c r="I225" i="2"/>
  <c r="I226" i="2" s="1"/>
  <c r="I232" i="2"/>
  <c r="I233" i="2" s="1"/>
  <c r="I239" i="2"/>
  <c r="I240" i="2" s="1"/>
  <c r="I246" i="2"/>
  <c r="I247" i="2" s="1"/>
  <c r="I254" i="2"/>
  <c r="I255" i="2" s="1"/>
  <c r="I261" i="2"/>
  <c r="I262" i="2" s="1"/>
  <c r="I268" i="2"/>
  <c r="I269" i="2" s="1"/>
  <c r="I275" i="2"/>
  <c r="I276" i="2" s="1"/>
  <c r="I282" i="2"/>
  <c r="I283" i="2" s="1"/>
  <c r="I290" i="2"/>
  <c r="I291" i="2" s="1"/>
  <c r="I297" i="2"/>
  <c r="I298" i="2" s="1"/>
  <c r="I304" i="2"/>
  <c r="I305" i="2" s="1"/>
  <c r="I311" i="2"/>
  <c r="I312" i="2" s="1"/>
  <c r="I318" i="2"/>
  <c r="I319" i="2" s="1"/>
  <c r="I325" i="2"/>
  <c r="I326" i="2" s="1"/>
  <c r="I332" i="2"/>
  <c r="I333" i="2" s="1"/>
  <c r="I339" i="2"/>
  <c r="I340" i="2" s="1"/>
  <c r="I347" i="2"/>
  <c r="I348" i="2" s="1"/>
  <c r="I354" i="2"/>
  <c r="I355" i="2" s="1"/>
  <c r="I362" i="2"/>
  <c r="I363" i="2" s="1"/>
  <c r="I369" i="2"/>
  <c r="I370" i="2" s="1"/>
  <c r="I376" i="2"/>
  <c r="I377" i="2" s="1"/>
  <c r="I383" i="2"/>
  <c r="I384" i="2" s="1"/>
  <c r="I389" i="2"/>
  <c r="I390" i="2" s="1"/>
  <c r="I395" i="2"/>
  <c r="I396" i="2" s="1"/>
  <c r="I404" i="2"/>
  <c r="I405" i="2" s="1"/>
  <c r="I413" i="2"/>
  <c r="I414" i="2" s="1"/>
  <c r="I420" i="2"/>
  <c r="I421" i="2" s="1"/>
  <c r="I428" i="2"/>
  <c r="I429" i="2" s="1"/>
  <c r="I437" i="2"/>
  <c r="I438" i="2" s="1"/>
  <c r="H559" i="2"/>
  <c r="H560" i="2" s="1"/>
  <c r="G559" i="2"/>
  <c r="G560" i="2" s="1"/>
  <c r="F559" i="2"/>
  <c r="F560" i="2" s="1"/>
  <c r="E559" i="2"/>
  <c r="E560" i="2" s="1"/>
  <c r="D559" i="2"/>
  <c r="D560" i="2" s="1"/>
  <c r="H552" i="2"/>
  <c r="H553" i="2" s="1"/>
  <c r="G552" i="2"/>
  <c r="G553" i="2" s="1"/>
  <c r="F552" i="2"/>
  <c r="F553" i="2" s="1"/>
  <c r="E552" i="2"/>
  <c r="E553" i="2" s="1"/>
  <c r="D552" i="2"/>
  <c r="D553" i="2" s="1"/>
  <c r="H545" i="2"/>
  <c r="H546" i="2" s="1"/>
  <c r="G545" i="2"/>
  <c r="G546" i="2" s="1"/>
  <c r="F545" i="2"/>
  <c r="F546" i="2" s="1"/>
  <c r="E545" i="2"/>
  <c r="E546" i="2" s="1"/>
  <c r="D545" i="2"/>
  <c r="D546" i="2" s="1"/>
  <c r="H538" i="2"/>
  <c r="H539" i="2" s="1"/>
  <c r="G538" i="2"/>
  <c r="G539" i="2" s="1"/>
  <c r="F538" i="2"/>
  <c r="F539" i="2" s="1"/>
  <c r="E538" i="2"/>
  <c r="E539" i="2" s="1"/>
  <c r="D538" i="2"/>
  <c r="D539" i="2" s="1"/>
  <c r="H531" i="2"/>
  <c r="H532" i="2" s="1"/>
  <c r="G531" i="2"/>
  <c r="G532" i="2" s="1"/>
  <c r="F531" i="2"/>
  <c r="F532" i="2" s="1"/>
  <c r="E531" i="2"/>
  <c r="E532" i="2" s="1"/>
  <c r="D531" i="2"/>
  <c r="D532" i="2" s="1"/>
  <c r="H524" i="2"/>
  <c r="H525" i="2" s="1"/>
  <c r="G524" i="2"/>
  <c r="G525" i="2" s="1"/>
  <c r="F524" i="2"/>
  <c r="F525" i="2" s="1"/>
  <c r="E524" i="2"/>
  <c r="E525" i="2" s="1"/>
  <c r="D524" i="2"/>
  <c r="D525" i="2" s="1"/>
  <c r="H517" i="2"/>
  <c r="H518" i="2" s="1"/>
  <c r="G517" i="2"/>
  <c r="G518" i="2" s="1"/>
  <c r="F517" i="2"/>
  <c r="F518" i="2" s="1"/>
  <c r="E517" i="2"/>
  <c r="E518" i="2" s="1"/>
  <c r="D517" i="2"/>
  <c r="D518" i="2" s="1"/>
  <c r="H510" i="2"/>
  <c r="H511" i="2" s="1"/>
  <c r="G510" i="2"/>
  <c r="G511" i="2" s="1"/>
  <c r="F510" i="2"/>
  <c r="F511" i="2" s="1"/>
  <c r="E510" i="2"/>
  <c r="E511" i="2" s="1"/>
  <c r="D510" i="2"/>
  <c r="D511" i="2" s="1"/>
  <c r="H503" i="2"/>
  <c r="H504" i="2" s="1"/>
  <c r="G503" i="2"/>
  <c r="G504" i="2" s="1"/>
  <c r="F503" i="2"/>
  <c r="F504" i="2" s="1"/>
  <c r="E503" i="2"/>
  <c r="E504" i="2" s="1"/>
  <c r="D503" i="2"/>
  <c r="D504" i="2" s="1"/>
  <c r="H496" i="2"/>
  <c r="H497" i="2" s="1"/>
  <c r="G496" i="2"/>
  <c r="G497" i="2" s="1"/>
  <c r="F496" i="2"/>
  <c r="F497" i="2" s="1"/>
  <c r="E496" i="2"/>
  <c r="E497" i="2" s="1"/>
  <c r="D496" i="2"/>
  <c r="D497" i="2" s="1"/>
  <c r="H489" i="2"/>
  <c r="H490" i="2" s="1"/>
  <c r="G489" i="2"/>
  <c r="G490" i="2" s="1"/>
  <c r="F489" i="2"/>
  <c r="F490" i="2" s="1"/>
  <c r="E489" i="2"/>
  <c r="E490" i="2" s="1"/>
  <c r="D489" i="2"/>
  <c r="D490" i="2" s="1"/>
  <c r="H482" i="2"/>
  <c r="H483" i="2" s="1"/>
  <c r="G482" i="2"/>
  <c r="G483" i="2" s="1"/>
  <c r="F482" i="2"/>
  <c r="F483" i="2" s="1"/>
  <c r="E482" i="2"/>
  <c r="E483" i="2" s="1"/>
  <c r="D482" i="2"/>
  <c r="D483" i="2" s="1"/>
  <c r="H475" i="2"/>
  <c r="H476" i="2" s="1"/>
  <c r="G475" i="2"/>
  <c r="G476" i="2" s="1"/>
  <c r="F475" i="2"/>
  <c r="F476" i="2" s="1"/>
  <c r="E475" i="2"/>
  <c r="E476" i="2" s="1"/>
  <c r="D475" i="2"/>
  <c r="D476" i="2" s="1"/>
  <c r="H465" i="2"/>
  <c r="H466" i="2" s="1"/>
  <c r="G465" i="2"/>
  <c r="G466" i="2" s="1"/>
  <c r="F465" i="2"/>
  <c r="F466" i="2" s="1"/>
  <c r="E465" i="2"/>
  <c r="E466" i="2" s="1"/>
  <c r="D465" i="2"/>
  <c r="D466" i="2" s="1"/>
  <c r="H458" i="2"/>
  <c r="H459" i="2" s="1"/>
  <c r="G458" i="2"/>
  <c r="G459" i="2" s="1"/>
  <c r="F458" i="2"/>
  <c r="F459" i="2" s="1"/>
  <c r="E458" i="2"/>
  <c r="E459" i="2" s="1"/>
  <c r="D458" i="2"/>
  <c r="D459" i="2" s="1"/>
  <c r="H451" i="2"/>
  <c r="H452" i="2" s="1"/>
  <c r="G451" i="2"/>
  <c r="G452" i="2" s="1"/>
  <c r="F451" i="2"/>
  <c r="F452" i="2" s="1"/>
  <c r="E451" i="2"/>
  <c r="E452" i="2" s="1"/>
  <c r="D451" i="2"/>
  <c r="D452" i="2" s="1"/>
  <c r="H444" i="2"/>
  <c r="H445" i="2" s="1"/>
  <c r="G444" i="2"/>
  <c r="G445" i="2" s="1"/>
  <c r="F444" i="2"/>
  <c r="F445" i="2" s="1"/>
  <c r="E444" i="2"/>
  <c r="E445" i="2" s="1"/>
  <c r="D444" i="2"/>
  <c r="D445" i="2" s="1"/>
  <c r="H104" i="2"/>
  <c r="H105" i="2" s="1"/>
  <c r="H97" i="2"/>
  <c r="H98" i="2" s="1"/>
  <c r="H90" i="2"/>
  <c r="H91" i="2" s="1"/>
  <c r="H184" i="2"/>
  <c r="H185" i="2" s="1"/>
  <c r="H177" i="2"/>
  <c r="H178" i="2" s="1"/>
  <c r="H170" i="2"/>
  <c r="H171" i="2" s="1"/>
  <c r="H161" i="2"/>
  <c r="H162" i="2" s="1"/>
  <c r="H146" i="2"/>
  <c r="H147" i="2" s="1"/>
  <c r="H139" i="2"/>
  <c r="H140" i="2" s="1"/>
  <c r="H13" i="2"/>
  <c r="H14" i="2" s="1"/>
  <c r="H18" i="2"/>
  <c r="H19" i="2" s="1"/>
  <c r="H25" i="2"/>
  <c r="H26" i="2" s="1"/>
  <c r="H33" i="2"/>
  <c r="H34" i="2" s="1"/>
  <c r="H40" i="2"/>
  <c r="H41" i="2" s="1"/>
  <c r="H45" i="2"/>
  <c r="H46" i="2" s="1"/>
  <c r="H53" i="2"/>
  <c r="H54" i="2" s="1"/>
  <c r="H60" i="2"/>
  <c r="H61" i="2" s="1"/>
  <c r="H68" i="2"/>
  <c r="H69" i="2" s="1"/>
  <c r="H76" i="2"/>
  <c r="H77" i="2" s="1"/>
  <c r="H83" i="2"/>
  <c r="H84" i="2" s="1"/>
  <c r="H191" i="2"/>
  <c r="H192" i="2" s="1"/>
  <c r="H154" i="2"/>
  <c r="H155" i="2" s="1"/>
  <c r="H112" i="2"/>
  <c r="H113" i="2" s="1"/>
  <c r="H119" i="2"/>
  <c r="H120" i="2" s="1"/>
  <c r="H126" i="2"/>
  <c r="H127" i="2" s="1"/>
  <c r="H134" i="2"/>
  <c r="H135" i="2" s="1"/>
  <c r="H6" i="2"/>
  <c r="H195" i="2"/>
  <c r="H196" i="2" s="1"/>
  <c r="H202" i="2"/>
  <c r="H203" i="2" s="1"/>
  <c r="H210" i="2"/>
  <c r="H211" i="2" s="1"/>
  <c r="H218" i="2"/>
  <c r="H219" i="2" s="1"/>
  <c r="H225" i="2"/>
  <c r="H226" i="2" s="1"/>
  <c r="H232" i="2"/>
  <c r="H233" i="2" s="1"/>
  <c r="H239" i="2"/>
  <c r="H240" i="2" s="1"/>
  <c r="H246" i="2"/>
  <c r="H247" i="2" s="1"/>
  <c r="H254" i="2"/>
  <c r="H255" i="2" s="1"/>
  <c r="H261" i="2"/>
  <c r="H262" i="2" s="1"/>
  <c r="H268" i="2"/>
  <c r="H269" i="2" s="1"/>
  <c r="H275" i="2"/>
  <c r="H276" i="2" s="1"/>
  <c r="H282" i="2"/>
  <c r="H283" i="2" s="1"/>
  <c r="H290" i="2"/>
  <c r="H291" i="2" s="1"/>
  <c r="H297" i="2"/>
  <c r="H298" i="2" s="1"/>
  <c r="H304" i="2"/>
  <c r="H305" i="2" s="1"/>
  <c r="H311" i="2"/>
  <c r="H312" i="2" s="1"/>
  <c r="H318" i="2"/>
  <c r="H319" i="2" s="1"/>
  <c r="H325" i="2"/>
  <c r="H326" i="2" s="1"/>
  <c r="H332" i="2"/>
  <c r="H333" i="2" s="1"/>
  <c r="H339" i="2"/>
  <c r="H340" i="2" s="1"/>
  <c r="H347" i="2"/>
  <c r="H348" i="2" s="1"/>
  <c r="H354" i="2"/>
  <c r="H355" i="2" s="1"/>
  <c r="H362" i="2"/>
  <c r="H363" i="2" s="1"/>
  <c r="H369" i="2"/>
  <c r="H370" i="2" s="1"/>
  <c r="H376" i="2"/>
  <c r="H377" i="2" s="1"/>
  <c r="H383" i="2"/>
  <c r="H384" i="2" s="1"/>
  <c r="H389" i="2"/>
  <c r="H390" i="2" s="1"/>
  <c r="H395" i="2"/>
  <c r="H396" i="2" s="1"/>
  <c r="H404" i="2"/>
  <c r="H405" i="2" s="1"/>
  <c r="H413" i="2"/>
  <c r="H414" i="2" s="1"/>
  <c r="H420" i="2"/>
  <c r="H421" i="2" s="1"/>
  <c r="H428" i="2"/>
  <c r="H429" i="2" s="1"/>
  <c r="H437" i="2"/>
  <c r="H438" i="2" s="1"/>
  <c r="D428" i="2"/>
  <c r="D429" i="2" s="1"/>
  <c r="G437" i="2"/>
  <c r="G438" i="2" s="1"/>
  <c r="F437" i="2"/>
  <c r="F438" i="2" s="1"/>
  <c r="E437" i="2"/>
  <c r="E438" i="2" s="1"/>
  <c r="D437" i="2"/>
  <c r="D438" i="2" s="1"/>
  <c r="G428" i="2"/>
  <c r="G429" i="2" s="1"/>
  <c r="F428" i="2"/>
  <c r="F429" i="2" s="1"/>
  <c r="E428" i="2"/>
  <c r="E429" i="2" s="1"/>
  <c r="G395" i="2"/>
  <c r="G396" i="2" s="1"/>
  <c r="F395" i="2"/>
  <c r="F396" i="2" s="1"/>
  <c r="E395" i="2"/>
  <c r="E396" i="2" s="1"/>
  <c r="D395" i="2"/>
  <c r="D396" i="2" s="1"/>
  <c r="E404" i="2"/>
  <c r="E405" i="2" s="1"/>
  <c r="F404" i="2"/>
  <c r="F405" i="2" s="1"/>
  <c r="G404" i="2"/>
  <c r="G405" i="2" s="1"/>
  <c r="E413" i="2"/>
  <c r="E414" i="2" s="1"/>
  <c r="F413" i="2"/>
  <c r="F414" i="2" s="1"/>
  <c r="G413" i="2"/>
  <c r="G414" i="2" s="1"/>
  <c r="D404" i="2"/>
  <c r="D405" i="2" s="1"/>
  <c r="D413" i="2"/>
  <c r="D414" i="2" s="1"/>
  <c r="G420" i="2"/>
  <c r="G421" i="2" s="1"/>
  <c r="F420" i="2"/>
  <c r="F421" i="2" s="1"/>
  <c r="E420" i="2"/>
  <c r="E421" i="2" s="1"/>
  <c r="D420" i="2"/>
  <c r="D421" i="2" s="1"/>
  <c r="G389" i="2"/>
  <c r="G390" i="2" s="1"/>
  <c r="F389" i="2"/>
  <c r="F390" i="2" s="1"/>
  <c r="E389" i="2"/>
  <c r="E390" i="2" s="1"/>
  <c r="D389" i="2"/>
  <c r="D390" i="2" s="1"/>
  <c r="G383" i="2"/>
  <c r="G384" i="2" s="1"/>
  <c r="F383" i="2"/>
  <c r="F384" i="2" s="1"/>
  <c r="E383" i="2"/>
  <c r="E384" i="2" s="1"/>
  <c r="D383" i="2"/>
  <c r="D384" i="2" s="1"/>
  <c r="G376" i="2"/>
  <c r="G377" i="2" s="1"/>
  <c r="F376" i="2"/>
  <c r="F377" i="2" s="1"/>
  <c r="E376" i="2"/>
  <c r="E377" i="2" s="1"/>
  <c r="D376" i="2"/>
  <c r="D377" i="2" s="1"/>
  <c r="G369" i="2"/>
  <c r="G370" i="2" s="1"/>
  <c r="F369" i="2"/>
  <c r="F370" i="2" s="1"/>
  <c r="E369" i="2"/>
  <c r="E370" i="2" s="1"/>
  <c r="D369" i="2"/>
  <c r="D370" i="2" s="1"/>
  <c r="G362" i="2"/>
  <c r="G363" i="2" s="1"/>
  <c r="F362" i="2"/>
  <c r="F363" i="2" s="1"/>
  <c r="E362" i="2"/>
  <c r="E363" i="2" s="1"/>
  <c r="D362" i="2"/>
  <c r="D363" i="2" s="1"/>
  <c r="G354" i="2"/>
  <c r="G355" i="2" s="1"/>
  <c r="F354" i="2"/>
  <c r="F355" i="2" s="1"/>
  <c r="E354" i="2"/>
  <c r="E355" i="2" s="1"/>
  <c r="D354" i="2"/>
  <c r="D355" i="2" s="1"/>
  <c r="G347" i="2"/>
  <c r="G348" i="2" s="1"/>
  <c r="F347" i="2"/>
  <c r="F348" i="2" s="1"/>
  <c r="E347" i="2"/>
  <c r="E348" i="2" s="1"/>
  <c r="D347" i="2"/>
  <c r="D348" i="2" s="1"/>
  <c r="G339" i="2"/>
  <c r="G340" i="2" s="1"/>
  <c r="F339" i="2"/>
  <c r="F340" i="2" s="1"/>
  <c r="E339" i="2"/>
  <c r="E340" i="2" s="1"/>
  <c r="D339" i="2"/>
  <c r="D340" i="2" s="1"/>
  <c r="G332" i="2"/>
  <c r="G333" i="2" s="1"/>
  <c r="F332" i="2"/>
  <c r="F333" i="2" s="1"/>
  <c r="E332" i="2"/>
  <c r="E333" i="2" s="1"/>
  <c r="D332" i="2"/>
  <c r="D333" i="2" s="1"/>
  <c r="G325" i="2"/>
  <c r="G326" i="2" s="1"/>
  <c r="F325" i="2"/>
  <c r="F326" i="2" s="1"/>
  <c r="E325" i="2"/>
  <c r="E326" i="2" s="1"/>
  <c r="D325" i="2"/>
  <c r="D326" i="2" s="1"/>
  <c r="G318" i="2"/>
  <c r="G319" i="2" s="1"/>
  <c r="F318" i="2"/>
  <c r="F319" i="2" s="1"/>
  <c r="E318" i="2"/>
  <c r="E319" i="2" s="1"/>
  <c r="D318" i="2"/>
  <c r="D319" i="2" s="1"/>
  <c r="G311" i="2"/>
  <c r="G312" i="2" s="1"/>
  <c r="F311" i="2"/>
  <c r="F312" i="2" s="1"/>
  <c r="E311" i="2"/>
  <c r="E312" i="2" s="1"/>
  <c r="D311" i="2"/>
  <c r="D312" i="2" s="1"/>
  <c r="G304" i="2"/>
  <c r="G305" i="2" s="1"/>
  <c r="F304" i="2"/>
  <c r="F305" i="2" s="1"/>
  <c r="E304" i="2"/>
  <c r="E305" i="2" s="1"/>
  <c r="D304" i="2"/>
  <c r="D305" i="2" s="1"/>
  <c r="G297" i="2"/>
  <c r="G298" i="2" s="1"/>
  <c r="F297" i="2"/>
  <c r="F298" i="2" s="1"/>
  <c r="E297" i="2"/>
  <c r="E298" i="2" s="1"/>
  <c r="D297" i="2"/>
  <c r="D298" i="2" s="1"/>
  <c r="G290" i="2"/>
  <c r="G291" i="2" s="1"/>
  <c r="F290" i="2"/>
  <c r="F291" i="2" s="1"/>
  <c r="E290" i="2"/>
  <c r="E291" i="2" s="1"/>
  <c r="D290" i="2"/>
  <c r="D291" i="2" s="1"/>
  <c r="G282" i="2"/>
  <c r="G283" i="2" s="1"/>
  <c r="F282" i="2"/>
  <c r="F283" i="2" s="1"/>
  <c r="E282" i="2"/>
  <c r="E283" i="2" s="1"/>
  <c r="D282" i="2"/>
  <c r="D283" i="2" s="1"/>
  <c r="G275" i="2"/>
  <c r="G276" i="2" s="1"/>
  <c r="F275" i="2"/>
  <c r="F276" i="2" s="1"/>
  <c r="E275" i="2"/>
  <c r="E276" i="2" s="1"/>
  <c r="D275" i="2"/>
  <c r="D276" i="2" s="1"/>
  <c r="G268" i="2"/>
  <c r="G269" i="2" s="1"/>
  <c r="F268" i="2"/>
  <c r="F269" i="2" s="1"/>
  <c r="E268" i="2"/>
  <c r="E269" i="2" s="1"/>
  <c r="D268" i="2"/>
  <c r="D269" i="2" s="1"/>
  <c r="F254" i="2"/>
  <c r="F255" i="2" s="1"/>
  <c r="D254" i="2"/>
  <c r="D255" i="2" s="1"/>
  <c r="E254" i="2"/>
  <c r="E255" i="2" s="1"/>
  <c r="G261" i="2"/>
  <c r="G262" i="2" s="1"/>
  <c r="F261" i="2"/>
  <c r="F262" i="2" s="1"/>
  <c r="E261" i="2"/>
  <c r="E262" i="2" s="1"/>
  <c r="D261" i="2"/>
  <c r="D262" i="2" s="1"/>
  <c r="G254" i="2"/>
  <c r="G255" i="2" s="1"/>
  <c r="G246" i="2"/>
  <c r="G247" i="2" s="1"/>
  <c r="F246" i="2"/>
  <c r="F247" i="2" s="1"/>
  <c r="E246" i="2"/>
  <c r="E247" i="2" s="1"/>
  <c r="D246" i="2"/>
  <c r="D247" i="2" s="1"/>
  <c r="G239" i="2"/>
  <c r="G240" i="2" s="1"/>
  <c r="F239" i="2"/>
  <c r="F240" i="2" s="1"/>
  <c r="E239" i="2"/>
  <c r="E240" i="2" s="1"/>
  <c r="D239" i="2"/>
  <c r="D240" i="2" s="1"/>
  <c r="G232" i="2"/>
  <c r="G233" i="2" s="1"/>
  <c r="F232" i="2"/>
  <c r="F233" i="2" s="1"/>
  <c r="E232" i="2"/>
  <c r="E233" i="2" s="1"/>
  <c r="D232" i="2"/>
  <c r="D233" i="2" s="1"/>
  <c r="G225" i="2"/>
  <c r="G226" i="2" s="1"/>
  <c r="F225" i="2"/>
  <c r="F226" i="2" s="1"/>
  <c r="E225" i="2"/>
  <c r="E226" i="2" s="1"/>
  <c r="D225" i="2"/>
  <c r="D226" i="2" s="1"/>
  <c r="G218" i="2"/>
  <c r="G219" i="2" s="1"/>
  <c r="F218" i="2"/>
  <c r="F219" i="2" s="1"/>
  <c r="E218" i="2"/>
  <c r="E219" i="2" s="1"/>
  <c r="D218" i="2"/>
  <c r="D219" i="2" s="1"/>
  <c r="G210" i="2"/>
  <c r="G211" i="2" s="1"/>
  <c r="F210" i="2"/>
  <c r="F211" i="2" s="1"/>
  <c r="E210" i="2"/>
  <c r="E211" i="2" s="1"/>
  <c r="D210" i="2"/>
  <c r="D211" i="2" s="1"/>
  <c r="G202" i="2"/>
  <c r="G203" i="2" s="1"/>
  <c r="F202" i="2"/>
  <c r="F203" i="2" s="1"/>
  <c r="E202" i="2"/>
  <c r="E203" i="2" s="1"/>
  <c r="D202" i="2"/>
  <c r="D203" i="2" s="1"/>
  <c r="G195" i="2"/>
  <c r="G196" i="2" s="1"/>
  <c r="F195" i="2"/>
  <c r="F196" i="2" s="1"/>
  <c r="E195" i="2"/>
  <c r="E196" i="2" s="1"/>
  <c r="D195" i="2"/>
  <c r="D196" i="2" s="1"/>
  <c r="G191" i="2"/>
  <c r="G192" i="2" s="1"/>
  <c r="F191" i="2"/>
  <c r="F192" i="2" s="1"/>
  <c r="E191" i="2"/>
  <c r="E192" i="2" s="1"/>
  <c r="D191" i="2"/>
  <c r="D192" i="2" s="1"/>
  <c r="G184" i="2"/>
  <c r="G185" i="2" s="1"/>
  <c r="F184" i="2"/>
  <c r="F185" i="2" s="1"/>
  <c r="E184" i="2"/>
  <c r="E185" i="2" s="1"/>
  <c r="D184" i="2"/>
  <c r="D185" i="2" s="1"/>
  <c r="G177" i="2"/>
  <c r="G178" i="2" s="1"/>
  <c r="F177" i="2"/>
  <c r="F178" i="2" s="1"/>
  <c r="E177" i="2"/>
  <c r="E178" i="2" s="1"/>
  <c r="D177" i="2"/>
  <c r="D178" i="2" s="1"/>
  <c r="G170" i="2"/>
  <c r="G171" i="2" s="1"/>
  <c r="F170" i="2"/>
  <c r="F171" i="2" s="1"/>
  <c r="E170" i="2"/>
  <c r="E171" i="2" s="1"/>
  <c r="D170" i="2"/>
  <c r="D171" i="2" s="1"/>
  <c r="I7" i="2" l="1"/>
  <c r="H7" i="2"/>
  <c r="J967" i="2"/>
  <c r="J968" i="2" s="1"/>
  <c r="G161" i="2"/>
  <c r="G162" i="2" s="1"/>
  <c r="F161" i="2"/>
  <c r="F162" i="2" s="1"/>
  <c r="E161" i="2"/>
  <c r="E162" i="2" s="1"/>
  <c r="D161" i="2"/>
  <c r="D162" i="2" s="1"/>
  <c r="G154" i="2" l="1"/>
  <c r="G155" i="2" s="1"/>
  <c r="F154" i="2"/>
  <c r="F155" i="2" s="1"/>
  <c r="E154" i="2"/>
  <c r="E155" i="2" s="1"/>
  <c r="D154" i="2"/>
  <c r="D155" i="2" s="1"/>
  <c r="G146" i="2"/>
  <c r="G147" i="2" s="1"/>
  <c r="F146" i="2"/>
  <c r="F147" i="2" s="1"/>
  <c r="E146" i="2"/>
  <c r="E147" i="2" s="1"/>
  <c r="D146" i="2"/>
  <c r="D147" i="2" s="1"/>
  <c r="G139" i="2"/>
  <c r="G140" i="2" s="1"/>
  <c r="F139" i="2"/>
  <c r="F140" i="2" s="1"/>
  <c r="E139" i="2"/>
  <c r="E140" i="2" s="1"/>
  <c r="D139" i="2"/>
  <c r="D140" i="2" s="1"/>
  <c r="G134" i="2" l="1"/>
  <c r="G135" i="2" s="1"/>
  <c r="F134" i="2"/>
  <c r="F135" i="2" s="1"/>
  <c r="E134" i="2"/>
  <c r="E135" i="2" s="1"/>
  <c r="D134" i="2"/>
  <c r="D135" i="2" s="1"/>
  <c r="G126" i="2"/>
  <c r="G127" i="2" s="1"/>
  <c r="F126" i="2"/>
  <c r="F127" i="2" s="1"/>
  <c r="E126" i="2"/>
  <c r="E127" i="2" s="1"/>
  <c r="D126" i="2"/>
  <c r="D127" i="2" s="1"/>
  <c r="G119" i="2" l="1"/>
  <c r="G120" i="2" s="1"/>
  <c r="F119" i="2"/>
  <c r="F120" i="2" s="1"/>
  <c r="E119" i="2"/>
  <c r="E120" i="2" s="1"/>
  <c r="D119" i="2"/>
  <c r="D120" i="2" s="1"/>
  <c r="G112" i="2"/>
  <c r="G113" i="2" s="1"/>
  <c r="F112" i="2"/>
  <c r="F113" i="2" s="1"/>
  <c r="E112" i="2"/>
  <c r="E113" i="2" s="1"/>
  <c r="D112" i="2"/>
  <c r="D113" i="2" s="1"/>
  <c r="G104" i="2" l="1"/>
  <c r="G105" i="2" s="1"/>
  <c r="F104" i="2"/>
  <c r="F105" i="2" s="1"/>
  <c r="E104" i="2"/>
  <c r="E105" i="2" s="1"/>
  <c r="D104" i="2"/>
  <c r="D105" i="2" s="1"/>
  <c r="G97" i="2" l="1"/>
  <c r="G98" i="2" s="1"/>
  <c r="F97" i="2"/>
  <c r="F98" i="2" s="1"/>
  <c r="E97" i="2"/>
  <c r="E98" i="2" s="1"/>
  <c r="D97" i="2"/>
  <c r="D98" i="2" s="1"/>
  <c r="G90" i="2" l="1"/>
  <c r="G91" i="2" s="1"/>
  <c r="G83" i="2"/>
  <c r="G84" i="2" s="1"/>
  <c r="F90" i="2"/>
  <c r="F91" i="2" s="1"/>
  <c r="E90" i="2"/>
  <c r="E91" i="2" s="1"/>
  <c r="D90" i="2"/>
  <c r="D91" i="2" s="1"/>
  <c r="F83" i="2"/>
  <c r="F84" i="2" s="1"/>
  <c r="E83" i="2"/>
  <c r="E84" i="2" s="1"/>
  <c r="D83" i="2"/>
  <c r="D84" i="2" s="1"/>
  <c r="G76" i="2" l="1"/>
  <c r="G77" i="2" s="1"/>
  <c r="G68" i="2"/>
  <c r="G69" i="2" s="1"/>
  <c r="G60" i="2"/>
  <c r="G61" i="2" s="1"/>
  <c r="G53" i="2"/>
  <c r="G54" i="2" s="1"/>
  <c r="G45" i="2"/>
  <c r="G46" i="2" s="1"/>
  <c r="G40" i="2"/>
  <c r="G41" i="2" s="1"/>
  <c r="G33" i="2"/>
  <c r="G34" i="2" s="1"/>
  <c r="G25" i="2"/>
  <c r="G26" i="2" s="1"/>
  <c r="G18" i="2"/>
  <c r="G19" i="2" s="1"/>
  <c r="G13" i="2"/>
  <c r="G14" i="2" s="1"/>
  <c r="G6" i="2"/>
  <c r="G967" i="2" l="1"/>
  <c r="G968" i="2" s="1"/>
  <c r="G7" i="2"/>
  <c r="F76" i="2"/>
  <c r="F77" i="2" s="1"/>
  <c r="E76" i="2"/>
  <c r="E77" i="2" s="1"/>
  <c r="D76" i="2"/>
  <c r="D77" i="2" s="1"/>
  <c r="F68" i="2" l="1"/>
  <c r="F69" i="2" s="1"/>
  <c r="E68" i="2"/>
  <c r="E69" i="2" s="1"/>
  <c r="D68" i="2"/>
  <c r="D69" i="2" s="1"/>
  <c r="F60" i="2" l="1"/>
  <c r="F61" i="2" s="1"/>
  <c r="E60" i="2"/>
  <c r="E61" i="2" s="1"/>
  <c r="D60" i="2"/>
  <c r="D61" i="2" s="1"/>
  <c r="F53" i="2" l="1"/>
  <c r="F54" i="2" s="1"/>
  <c r="E53" i="2"/>
  <c r="E54" i="2" s="1"/>
  <c r="D53" i="2"/>
  <c r="D54" i="2" s="1"/>
  <c r="F45" i="2" l="1"/>
  <c r="F46" i="2" s="1"/>
  <c r="E45" i="2"/>
  <c r="E46" i="2" s="1"/>
  <c r="D45" i="2"/>
  <c r="D46" i="2" s="1"/>
  <c r="F40" i="2"/>
  <c r="F41" i="2" s="1"/>
  <c r="E40" i="2"/>
  <c r="E41" i="2" s="1"/>
  <c r="D40" i="2"/>
  <c r="D41" i="2" s="1"/>
  <c r="E33" i="2" l="1"/>
  <c r="E34" i="2" s="1"/>
  <c r="F33" i="2"/>
  <c r="F34" i="2" s="1"/>
  <c r="D33" i="2"/>
  <c r="D34" i="2" s="1"/>
  <c r="F25" i="2"/>
  <c r="F26" i="2" s="1"/>
  <c r="E25" i="2"/>
  <c r="E26" i="2" s="1"/>
  <c r="D25" i="2"/>
  <c r="D26" i="2" s="1"/>
  <c r="V15" i="5" l="1"/>
  <c r="U15" i="5"/>
  <c r="B7" i="5"/>
  <c r="D7" i="5" s="1"/>
  <c r="F7" i="5" s="1"/>
  <c r="H7" i="5" s="1"/>
  <c r="J7" i="5" s="1"/>
  <c r="L7" i="5" s="1"/>
  <c r="N7" i="5" s="1"/>
  <c r="P7" i="5" s="1"/>
  <c r="T5" i="5"/>
  <c r="D5" i="5"/>
  <c r="F5" i="5"/>
  <c r="H5" i="5"/>
  <c r="J5" i="5"/>
  <c r="L5" i="5"/>
  <c r="N5" i="5"/>
  <c r="P5" i="5"/>
  <c r="R5" i="5"/>
  <c r="B5" i="5"/>
  <c r="B6" i="5" s="1"/>
  <c r="T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C15" i="5"/>
  <c r="B15" i="5"/>
  <c r="R7" i="5" l="1"/>
  <c r="B16" i="5"/>
  <c r="D16" i="5" s="1"/>
  <c r="F16" i="5" s="1"/>
  <c r="H16" i="5" s="1"/>
  <c r="J16" i="5" s="1"/>
  <c r="L16" i="5" s="1"/>
  <c r="N16" i="5" s="1"/>
  <c r="P16" i="5" s="1"/>
  <c r="R16" i="5" s="1"/>
  <c r="T16" i="5" s="1"/>
  <c r="D6" i="5"/>
  <c r="F18" i="2"/>
  <c r="F19" i="2" s="1"/>
  <c r="E18" i="2"/>
  <c r="E19" i="2" s="1"/>
  <c r="D18" i="2"/>
  <c r="D19" i="2" s="1"/>
  <c r="E6" i="2"/>
  <c r="F6" i="2"/>
  <c r="D6" i="2"/>
  <c r="D13" i="2"/>
  <c r="D14" i="2" s="1"/>
  <c r="E13" i="2"/>
  <c r="E14" i="2" s="1"/>
  <c r="F13" i="2"/>
  <c r="F14" i="2" s="1"/>
  <c r="F967" i="2" l="1"/>
  <c r="F968" i="2" s="1"/>
  <c r="E7" i="2"/>
  <c r="D7" i="2"/>
  <c r="F7" i="2"/>
  <c r="T7" i="5"/>
  <c r="F6" i="5"/>
  <c r="H6" i="5" l="1"/>
  <c r="J6" i="5" l="1"/>
  <c r="L6" i="5" l="1"/>
  <c r="N6" i="5" l="1"/>
  <c r="P6" i="5" l="1"/>
  <c r="R6" i="5" l="1"/>
  <c r="T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tc={D9F76AC9-5449-4CAE-BA00-B646DD3842BB}</author>
    <author>tc={CA5C4AB6-3382-49A8-A559-1D1AD17FAB37}</author>
    <author>tc={B3BB72DB-FA27-446C-8A2C-77BB7D1C76BC}</author>
    <author>tc={A6091C3C-4E0E-43AE-BEC6-B606E9E2A5CC}</author>
    <author>tc={761CA678-029E-458F-A9EE-04DFB65893FD}</author>
    <author>tc={FEC39EF5-3C00-492E-91E9-79E7B2C5705F}</author>
    <author>tc={94FA33F0-297D-4312-94A2-44356BC8F11B}</author>
  </authors>
  <commentList>
    <comment ref="A270" authorId="0" shapeId="0" xr:uid="{D9F76AC9-5449-4CAE-BA00-B646DD3842BB}">
      <text>
        <t>[對話串註解]
您的 Excel 版本可讓您讀取此對話串註解; 但若以較新的 Excel 版本開啟此檔案，將會移除對它進行的所有編輯。深入了解: https://go.microsoft.com/fwlink/?linkid=870924。
註解:
    疫情後首打</t>
      </text>
    </comment>
    <comment ref="A397" authorId="1" shapeId="0" xr:uid="{CA5C4AB6-3382-49A8-A559-1D1AD17FAB37}">
      <text>
        <t>[對話串註解]
您的 Excel 版本可讓您讀取此對話串註解; 但若以較新的 Excel 版本開啟此檔案，將會移除對它進行的所有編輯。深入了解: https://go.microsoft.com/fwlink/?linkid=870924。
註解:
    公球</t>
      </text>
    </comment>
    <comment ref="A519" authorId="2" shapeId="0" xr:uid="{B3BB72DB-FA27-446C-8A2C-77BB7D1C76BC}">
      <text>
        <t>[對話串註解]
您的 Excel 版本可讓您讀取此對話串註解; 但若以較新的 Excel 版本開啟此檔案，將會移除對它進行的所有編輯。深入了解: https://go.microsoft.com/fwlink/?linkid=870924。
註解:
    Nick買新球</t>
      </text>
    </comment>
    <comment ref="A568" authorId="3" shapeId="0" xr:uid="{A6091C3C-4E0E-43AE-BEC6-B606E9E2A5CC}">
      <text>
        <t>[對話串註解]
您的 Excel 版本可讓您讀取此對話串註解; 但若以較新的 Excel 版本開啟此檔案，將會移除對它進行的所有編輯。深入了解: https://go.microsoft.com/fwlink/?linkid=870924。
註解:
    奕辰買新球</t>
      </text>
    </comment>
    <comment ref="A582" authorId="4" shapeId="0" xr:uid="{761CA678-029E-458F-A9EE-04DFB65893FD}">
      <text>
        <t>[對話串註解]
您的 Excel 版本可讓您讀取此對話串註解; 但若以較新的 Excel 版本開啟此檔案，將會移除對它進行的所有編輯。深入了解: https://go.microsoft.com/fwlink/?linkid=870924。
註解:
    Donald買新球：14磅
威中買新球：12磅</t>
      </text>
    </comment>
    <comment ref="A652" authorId="5" shapeId="0" xr:uid="{FEC39EF5-3C00-492E-91E9-79E7B2C5705F}">
      <text>
        <t>[對話串註解]
您的 Excel 版本可讓您讀取此對話串註解; 但若以較新的 Excel 版本開啟此檔案，將會移除對它進行的所有編輯。深入了解: https://go.microsoft.com/fwlink/?linkid=870924。
註解:
    威中買新球：12磅，黃金保齡球</t>
      </text>
    </comment>
    <comment ref="A869" authorId="6" shapeId="0" xr:uid="{94FA33F0-297D-4312-94A2-44356BC8F11B}">
      <text>
        <t>[對話串註解]
您的 Excel 版本可讓您讀取此對話串註解; 但若以較新的 Excel 版本開啟此檔案，將會移除對它進行的所有編輯。深入了解: https://go.microsoft.com/fwlink/?linkid=870924。
註解:
    威中買新球13磅與新鞋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tc={4D67D040-0A62-4BFC-99A6-B24FC34DFB02}</author>
    <author>tc={3A4D648B-EA8E-4F63-957C-0AD2EBFBEF9A}</author>
    <author>tc={1FDA03BD-DABA-4698-8C33-C087B5DE406F}</author>
    <author>tc={9CC591EE-E38F-4D47-AF99-85DD9DAA6889}</author>
    <author>tc={668CA01F-D58F-44C5-ABD2-2EEBADE0B8B7}</author>
    <author>tc={2ED1938C-4B7E-445B-A99E-3F386A5CDDBD}</author>
    <author>tc={5A8647C5-9181-4AC7-9B48-6A53FFB5A7CC}</author>
  </authors>
  <commentList>
    <comment ref="A194" authorId="0" shapeId="0" xr:uid="{4D67D040-0A62-4BFC-99A6-B24FC34DFB02}">
      <text>
        <t>[對話串註解]
您的 Excel 版本可讓您讀取此對話串註解; 但若以較新的 Excel 版本開啟此檔案，將會移除對它進行的所有編輯。深入了解: https://go.microsoft.com/fwlink/?linkid=870924。
註解:
    疫情後首打</t>
      </text>
    </comment>
    <comment ref="A285" authorId="1" shapeId="0" xr:uid="{3A4D648B-EA8E-4F63-957C-0AD2EBFBEF9A}">
      <text>
        <t>[對話串註解]
您的 Excel 版本可讓您讀取此對話串註解; 但若以較新的 Excel 版本開啟此檔案，將會移除對它進行的所有編輯。深入了解: https://go.microsoft.com/fwlink/?linkid=870924。
註解:
    公球</t>
      </text>
    </comment>
    <comment ref="A375" authorId="2" shapeId="0" xr:uid="{1FDA03BD-DABA-4698-8C33-C087B5DE406F}">
      <text>
        <t>[對話串註解]
您的 Excel 版本可讓您讀取此對話串註解; 但若以較新的 Excel 版本開啟此檔案，將會移除對它進行的所有編輯。深入了解: https://go.microsoft.com/fwlink/?linkid=870924。
註解:
    Nick買新球</t>
      </text>
    </comment>
    <comment ref="A410" authorId="3" shapeId="0" xr:uid="{9CC591EE-E38F-4D47-AF99-85DD9DAA6889}">
      <text>
        <t>[對話串註解]
您的 Excel 版本可讓您讀取此對話串註解; 但若以較新的 Excel 版本開啟此檔案，將會移除對它進行的所有編輯。深入了解: https://go.microsoft.com/fwlink/?linkid=870924。
註解:
    弈辰買新球</t>
      </text>
    </comment>
    <comment ref="A420" authorId="4" shapeId="0" xr:uid="{668CA01F-D58F-44C5-ABD2-2EEBADE0B8B7}">
      <text>
        <t>[對話串註解]
您的 Excel 版本可讓您讀取此對話串註解; 但若以較新的 Excel 版本開啟此檔案，將會移除對它進行的所有編輯。深入了解: https://go.microsoft.com/fwlink/?linkid=870924。
註解:
    Donald買新球：14磅
威中買新球：12磅</t>
      </text>
    </comment>
    <comment ref="A470" authorId="5" shapeId="0" xr:uid="{2ED1938C-4B7E-445B-A99E-3F386A5CDDBD}">
      <text>
        <t>[對話串註解]
您的 Excel 版本可讓您讀取此對話串註解; 但若以較新的 Excel 版本開啟此檔案，將會移除對它進行的所有編輯。深入了解: https://go.microsoft.com/fwlink/?linkid=870924。
註解:
    威中買新球：12磅，黃金保齡球</t>
      </text>
    </comment>
    <comment ref="A625" authorId="6" shapeId="0" xr:uid="{5A8647C5-9181-4AC7-9B48-6A53FFB5A7CC}">
      <text>
        <t>[對話串註解]
您的 Excel 版本可讓您讀取此對話串註解; 但若以較新的 Excel 版本開啟此檔案，將會移除對它進行的所有編輯。深入了解: https://go.microsoft.com/fwlink/?linkid=870924。
註解:
    威中買新球13磅與新鞋</t>
      </text>
    </comment>
  </commentList>
</comments>
</file>

<file path=xl/sharedStrings.xml><?xml version="1.0" encoding="utf-8"?>
<sst xmlns="http://schemas.openxmlformats.org/spreadsheetml/2006/main" count="3067" uniqueCount="133">
  <si>
    <t>姓名</t>
    <phoneticPr fontId="1" type="noConversion"/>
  </si>
  <si>
    <t>威中</t>
    <phoneticPr fontId="1" type="noConversion"/>
  </si>
  <si>
    <t>金龍</t>
    <phoneticPr fontId="1" type="noConversion"/>
  </si>
  <si>
    <t>Donald</t>
    <phoneticPr fontId="1" type="noConversion"/>
  </si>
  <si>
    <t>日期</t>
    <phoneticPr fontId="1" type="noConversion"/>
  </si>
  <si>
    <t>局數</t>
    <phoneticPr fontId="1" type="noConversion"/>
  </si>
  <si>
    <t>小計</t>
    <phoneticPr fontId="1" type="noConversion"/>
  </si>
  <si>
    <t>平均</t>
    <phoneticPr fontId="1" type="noConversion"/>
  </si>
  <si>
    <t>-</t>
    <phoneticPr fontId="1" type="noConversion"/>
  </si>
  <si>
    <t>總計</t>
    <phoneticPr fontId="1" type="noConversion"/>
  </si>
  <si>
    <t>總平均</t>
    <phoneticPr fontId="1" type="noConversion"/>
  </si>
  <si>
    <t>次數</t>
    <phoneticPr fontId="1" type="noConversion"/>
  </si>
  <si>
    <t>格數</t>
    <phoneticPr fontId="1" type="noConversion"/>
  </si>
  <si>
    <t>球數</t>
    <phoneticPr fontId="1" type="noConversion"/>
  </si>
  <si>
    <t>分數</t>
    <phoneticPr fontId="1" type="noConversion"/>
  </si>
  <si>
    <t>沒任何全倒及半倒</t>
    <phoneticPr fontId="1" type="noConversion"/>
  </si>
  <si>
    <t>全倒</t>
    <phoneticPr fontId="1" type="noConversion"/>
  </si>
  <si>
    <t>Kelly</t>
    <phoneticPr fontId="1" type="noConversion"/>
  </si>
  <si>
    <t>28-1</t>
    <phoneticPr fontId="1" type="noConversion"/>
  </si>
  <si>
    <t>28-2</t>
    <phoneticPr fontId="1" type="noConversion"/>
  </si>
  <si>
    <t>表示換了新的直球</t>
    <phoneticPr fontId="1" type="noConversion"/>
  </si>
  <si>
    <t>表示換了新的曲球</t>
    <phoneticPr fontId="1" type="noConversion"/>
  </si>
  <si>
    <t>31</t>
    <phoneticPr fontId="1" type="noConversion"/>
  </si>
  <si>
    <t>32</t>
    <phoneticPr fontId="1" type="noConversion"/>
  </si>
  <si>
    <t>33</t>
    <phoneticPr fontId="1" type="noConversion"/>
  </si>
  <si>
    <t>34</t>
    <phoneticPr fontId="1" type="noConversion"/>
  </si>
  <si>
    <t>35</t>
    <phoneticPr fontId="1" type="noConversion"/>
  </si>
  <si>
    <t>36</t>
    <phoneticPr fontId="1" type="noConversion"/>
  </si>
  <si>
    <t>37</t>
    <phoneticPr fontId="1" type="noConversion"/>
  </si>
  <si>
    <t>38</t>
    <phoneticPr fontId="1" type="noConversion"/>
  </si>
  <si>
    <t>39</t>
    <phoneticPr fontId="1" type="noConversion"/>
  </si>
  <si>
    <t>40</t>
    <phoneticPr fontId="1" type="noConversion"/>
  </si>
  <si>
    <t>41</t>
    <phoneticPr fontId="1" type="noConversion"/>
  </si>
  <si>
    <t>42</t>
    <phoneticPr fontId="1" type="noConversion"/>
  </si>
  <si>
    <t>43</t>
    <phoneticPr fontId="1" type="noConversion"/>
  </si>
  <si>
    <t>44</t>
    <phoneticPr fontId="1" type="noConversion"/>
  </si>
  <si>
    <t>45</t>
    <phoneticPr fontId="1" type="noConversion"/>
  </si>
  <si>
    <t>46</t>
    <phoneticPr fontId="1" type="noConversion"/>
  </si>
  <si>
    <t>47</t>
    <phoneticPr fontId="1" type="noConversion"/>
  </si>
  <si>
    <t>48</t>
    <phoneticPr fontId="1" type="noConversion"/>
  </si>
  <si>
    <t>49</t>
    <phoneticPr fontId="1" type="noConversion"/>
  </si>
  <si>
    <t>50</t>
    <phoneticPr fontId="1" type="noConversion"/>
  </si>
  <si>
    <t>51</t>
    <phoneticPr fontId="1" type="noConversion"/>
  </si>
  <si>
    <t>52</t>
    <phoneticPr fontId="1" type="noConversion"/>
  </si>
  <si>
    <t>53</t>
    <phoneticPr fontId="1" type="noConversion"/>
  </si>
  <si>
    <t>54</t>
    <phoneticPr fontId="1" type="noConversion"/>
  </si>
  <si>
    <t>55</t>
    <phoneticPr fontId="1" type="noConversion"/>
  </si>
  <si>
    <t>56</t>
    <phoneticPr fontId="1" type="noConversion"/>
  </si>
  <si>
    <t>57</t>
    <phoneticPr fontId="1" type="noConversion"/>
  </si>
  <si>
    <t>58</t>
    <phoneticPr fontId="1" type="noConversion"/>
  </si>
  <si>
    <t>59</t>
    <phoneticPr fontId="1" type="noConversion"/>
  </si>
  <si>
    <t>60</t>
    <phoneticPr fontId="1" type="noConversion"/>
  </si>
  <si>
    <t>Nick</t>
    <phoneticPr fontId="1" type="noConversion"/>
  </si>
  <si>
    <t>61</t>
    <phoneticPr fontId="1" type="noConversion"/>
  </si>
  <si>
    <t>62</t>
    <phoneticPr fontId="1" type="noConversion"/>
  </si>
  <si>
    <t>63</t>
    <phoneticPr fontId="1" type="noConversion"/>
  </si>
  <si>
    <t>64</t>
    <phoneticPr fontId="1" type="noConversion"/>
  </si>
  <si>
    <t>65</t>
    <phoneticPr fontId="1" type="noConversion"/>
  </si>
  <si>
    <t>66</t>
    <phoneticPr fontId="1" type="noConversion"/>
  </si>
  <si>
    <t>67</t>
    <phoneticPr fontId="1" type="noConversion"/>
  </si>
  <si>
    <t>68</t>
    <phoneticPr fontId="1" type="noConversion"/>
  </si>
  <si>
    <t>69</t>
    <phoneticPr fontId="1" type="noConversion"/>
  </si>
  <si>
    <t>70</t>
    <phoneticPr fontId="1" type="noConversion"/>
  </si>
  <si>
    <t>71</t>
    <phoneticPr fontId="1" type="noConversion"/>
  </si>
  <si>
    <t>72</t>
    <phoneticPr fontId="1" type="noConversion"/>
  </si>
  <si>
    <t>73</t>
    <phoneticPr fontId="1" type="noConversion"/>
  </si>
  <si>
    <t>74</t>
    <phoneticPr fontId="1" type="noConversion"/>
  </si>
  <si>
    <t>75</t>
    <phoneticPr fontId="1" type="noConversion"/>
  </si>
  <si>
    <t>76</t>
    <phoneticPr fontId="1" type="noConversion"/>
  </si>
  <si>
    <t>77</t>
    <phoneticPr fontId="1" type="noConversion"/>
  </si>
  <si>
    <t>奕辰</t>
    <phoneticPr fontId="1" type="noConversion"/>
  </si>
  <si>
    <t>78</t>
    <phoneticPr fontId="1" type="noConversion"/>
  </si>
  <si>
    <t>79</t>
    <phoneticPr fontId="1" type="noConversion"/>
  </si>
  <si>
    <t>80</t>
    <phoneticPr fontId="1" type="noConversion"/>
  </si>
  <si>
    <t>81</t>
    <phoneticPr fontId="1" type="noConversion"/>
  </si>
  <si>
    <t>82</t>
    <phoneticPr fontId="1" type="noConversion"/>
  </si>
  <si>
    <t>83</t>
    <phoneticPr fontId="1" type="noConversion"/>
  </si>
  <si>
    <t>84</t>
    <phoneticPr fontId="1" type="noConversion"/>
  </si>
  <si>
    <t>85</t>
    <phoneticPr fontId="1" type="noConversion"/>
  </si>
  <si>
    <t>86</t>
    <phoneticPr fontId="1" type="noConversion"/>
  </si>
  <si>
    <t>87</t>
    <phoneticPr fontId="1" type="noConversion"/>
  </si>
  <si>
    <t>88</t>
  </si>
  <si>
    <t>89</t>
  </si>
  <si>
    <t>90</t>
    <phoneticPr fontId="1" type="noConversion"/>
  </si>
  <si>
    <t>91</t>
    <phoneticPr fontId="1" type="noConversion"/>
  </si>
  <si>
    <t>92</t>
    <phoneticPr fontId="1" type="noConversion"/>
  </si>
  <si>
    <t>93</t>
    <phoneticPr fontId="1" type="noConversion"/>
  </si>
  <si>
    <t>94</t>
    <phoneticPr fontId="1" type="noConversion"/>
  </si>
  <si>
    <t>95</t>
    <phoneticPr fontId="1" type="noConversion"/>
  </si>
  <si>
    <t>96</t>
    <phoneticPr fontId="1" type="noConversion"/>
  </si>
  <si>
    <t>97</t>
    <phoneticPr fontId="1" type="noConversion"/>
  </si>
  <si>
    <t>SEAN</t>
    <phoneticPr fontId="1" type="noConversion"/>
  </si>
  <si>
    <t>98</t>
    <phoneticPr fontId="1" type="noConversion"/>
  </si>
  <si>
    <t>99</t>
    <phoneticPr fontId="1" type="noConversion"/>
  </si>
  <si>
    <t>100</t>
    <phoneticPr fontId="1" type="noConversion"/>
  </si>
  <si>
    <t>101</t>
    <phoneticPr fontId="1" type="noConversion"/>
  </si>
  <si>
    <t>102</t>
    <phoneticPr fontId="1" type="noConversion"/>
  </si>
  <si>
    <t>103</t>
  </si>
  <si>
    <t>104</t>
  </si>
  <si>
    <t>105</t>
  </si>
  <si>
    <t>106</t>
  </si>
  <si>
    <t>107</t>
    <phoneticPr fontId="1" type="noConversion"/>
  </si>
  <si>
    <t>108</t>
    <phoneticPr fontId="1" type="noConversion"/>
  </si>
  <si>
    <t>109</t>
    <phoneticPr fontId="1" type="noConversion"/>
  </si>
  <si>
    <t>110</t>
    <phoneticPr fontId="1" type="noConversion"/>
  </si>
  <si>
    <t>111</t>
    <phoneticPr fontId="1" type="noConversion"/>
  </si>
  <si>
    <t>112</t>
  </si>
  <si>
    <t>113</t>
  </si>
  <si>
    <t>114</t>
  </si>
  <si>
    <t>115</t>
    <phoneticPr fontId="1" type="noConversion"/>
  </si>
  <si>
    <t>116</t>
    <phoneticPr fontId="1" type="noConversion"/>
  </si>
  <si>
    <t>117</t>
    <phoneticPr fontId="1" type="noConversion"/>
  </si>
  <si>
    <t>118</t>
    <phoneticPr fontId="1" type="noConversion"/>
  </si>
  <si>
    <t>119</t>
    <phoneticPr fontId="1" type="noConversion"/>
  </si>
  <si>
    <t>120</t>
    <phoneticPr fontId="1" type="noConversion"/>
  </si>
  <si>
    <t>121</t>
    <phoneticPr fontId="1" type="noConversion"/>
  </si>
  <si>
    <t>122</t>
    <phoneticPr fontId="1" type="noConversion"/>
  </si>
  <si>
    <t>123</t>
    <phoneticPr fontId="1" type="noConversion"/>
  </si>
  <si>
    <t>124</t>
  </si>
  <si>
    <t>125</t>
  </si>
  <si>
    <t>126</t>
  </si>
  <si>
    <t>127</t>
  </si>
  <si>
    <t>28=NA()1</t>
  </si>
  <si>
    <t>28=NA()2</t>
  </si>
  <si>
    <t>128</t>
  </si>
  <si>
    <t>129</t>
    <phoneticPr fontId="1" type="noConversion"/>
  </si>
  <si>
    <t>130</t>
    <phoneticPr fontId="1" type="noConversion"/>
  </si>
  <si>
    <t>131</t>
    <phoneticPr fontId="1" type="noConversion"/>
  </si>
  <si>
    <t>FI</t>
    <phoneticPr fontId="1" type="noConversion"/>
  </si>
  <si>
    <t>132</t>
    <phoneticPr fontId="1" type="noConversion"/>
  </si>
  <si>
    <t>-</t>
  </si>
  <si>
    <t>133</t>
  </si>
  <si>
    <t>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</si>
</sst>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yyyy/m/d;@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dobe Gothic Std B"/>
      <family val="2"/>
      <charset val="128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細明體"/>
      <family val="2"/>
      <charset val="136"/>
    </font>
    <font>
      <sz val="12"/>
      <color theme="1"/>
      <name val="微軟正黑體"/>
      <family val="2"/>
      <charset val="136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00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0" fillId="10" borderId="0" xfId="0" applyFill="1">
      <alignment vertical="center"/>
    </xf>
    <xf numFmtId="176" fontId="2" fillId="0" borderId="1" xfId="0" quotePrefix="1" applyNumberFormat="1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14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12" borderId="1" xfId="0" quotePrefix="1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0" fillId="8" borderId="1" xfId="0" quotePrefix="1" applyNumberFormat="1" applyFill="1" applyBorder="1" applyAlignment="1">
      <alignment horizontal="center" vertical="center"/>
    </xf>
    <xf numFmtId="49" fontId="0" fillId="10" borderId="1" xfId="0" quotePrefix="1" applyNumberForma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49" fontId="0" fillId="16" borderId="1" xfId="0" quotePrefix="1" applyNumberFormat="1" applyFill="1" applyBorder="1" applyAlignment="1">
      <alignment horizontal="center" vertical="center"/>
    </xf>
    <xf numFmtId="49" fontId="0" fillId="16" borderId="1" xfId="0" applyNumberFormat="1" applyFill="1" applyBorder="1" applyAlignment="1">
      <alignment horizontal="center" vertical="center"/>
    </xf>
    <xf numFmtId="49" fontId="0" fillId="15" borderId="1" xfId="0" quotePrefix="1" applyNumberFormat="1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99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威中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圖表!$C$3:$C$24</c:f>
              <c:strCache>
                <c:ptCount val="22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1 </c:v>
                </c:pt>
                <c:pt idx="4">
                  <c:v>2 </c:v>
                </c:pt>
                <c:pt idx="5">
                  <c:v>3 </c:v>
                </c:pt>
                <c:pt idx="6">
                  <c:v>4 </c:v>
                </c:pt>
                <c:pt idx="7">
                  <c:v>5 </c:v>
                </c:pt>
                <c:pt idx="8">
                  <c:v>1 </c:v>
                </c:pt>
                <c:pt idx="9">
                  <c:v>2 </c:v>
                </c:pt>
                <c:pt idx="10">
                  <c:v>3 </c:v>
                </c:pt>
                <c:pt idx="11">
                  <c:v>1 </c:v>
                </c:pt>
                <c:pt idx="12">
                  <c:v>2 </c:v>
                </c:pt>
                <c:pt idx="13">
                  <c:v>3 </c:v>
                </c:pt>
                <c:pt idx="14">
                  <c:v>4 </c:v>
                </c:pt>
                <c:pt idx="15">
                  <c:v>5 </c:v>
                </c:pt>
                <c:pt idx="16">
                  <c:v>1 </c:v>
                </c:pt>
                <c:pt idx="17">
                  <c:v>2 </c:v>
                </c:pt>
                <c:pt idx="18">
                  <c:v>3 </c:v>
                </c:pt>
                <c:pt idx="19">
                  <c:v>4 </c:v>
                </c:pt>
                <c:pt idx="20">
                  <c:v>5 </c:v>
                </c:pt>
                <c:pt idx="21">
                  <c:v>6 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圖表!$D$3:$D$689</c:f>
              <c:numCache>
                <c:formatCode>#,##0_ </c:formatCode>
                <c:ptCount val="687"/>
                <c:pt idx="0">
                  <c:v>135</c:v>
                </c:pt>
                <c:pt idx="1">
                  <c:v>141</c:v>
                </c:pt>
                <c:pt idx="2">
                  <c:v>124</c:v>
                </c:pt>
                <c:pt idx="3">
                  <c:v>107</c:v>
                </c:pt>
                <c:pt idx="4">
                  <c:v>117</c:v>
                </c:pt>
                <c:pt idx="5">
                  <c:v>117</c:v>
                </c:pt>
                <c:pt idx="6">
                  <c:v>110</c:v>
                </c:pt>
                <c:pt idx="7">
                  <c:v>130</c:v>
                </c:pt>
                <c:pt idx="8">
                  <c:v>142</c:v>
                </c:pt>
                <c:pt idx="9">
                  <c:v>100</c:v>
                </c:pt>
                <c:pt idx="10">
                  <c:v>114</c:v>
                </c:pt>
                <c:pt idx="11">
                  <c:v>76</c:v>
                </c:pt>
                <c:pt idx="12">
                  <c:v>98</c:v>
                </c:pt>
                <c:pt idx="13">
                  <c:v>132</c:v>
                </c:pt>
                <c:pt idx="14">
                  <c:v>116</c:v>
                </c:pt>
                <c:pt idx="15">
                  <c:v>90</c:v>
                </c:pt>
                <c:pt idx="16">
                  <c:v>99</c:v>
                </c:pt>
                <c:pt idx="17">
                  <c:v>119</c:v>
                </c:pt>
                <c:pt idx="18">
                  <c:v>120</c:v>
                </c:pt>
                <c:pt idx="19">
                  <c:v>182</c:v>
                </c:pt>
                <c:pt idx="20">
                  <c:v>156</c:v>
                </c:pt>
                <c:pt idx="21">
                  <c:v>110</c:v>
                </c:pt>
                <c:pt idx="22">
                  <c:v>118</c:v>
                </c:pt>
                <c:pt idx="23">
                  <c:v>139</c:v>
                </c:pt>
                <c:pt idx="24">
                  <c:v>145</c:v>
                </c:pt>
                <c:pt idx="25">
                  <c:v>170</c:v>
                </c:pt>
                <c:pt idx="26">
                  <c:v>144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114</c:v>
                </c:pt>
                <c:pt idx="31">
                  <c:v>127</c:v>
                </c:pt>
                <c:pt idx="32">
                  <c:v>174</c:v>
                </c:pt>
                <c:pt idx="33">
                  <c:v>106</c:v>
                </c:pt>
                <c:pt idx="34">
                  <c:v>128</c:v>
                </c:pt>
                <c:pt idx="35">
                  <c:v>148</c:v>
                </c:pt>
                <c:pt idx="36">
                  <c:v>127</c:v>
                </c:pt>
                <c:pt idx="37">
                  <c:v>134</c:v>
                </c:pt>
                <c:pt idx="38">
                  <c:v>130</c:v>
                </c:pt>
                <c:pt idx="39">
                  <c:v>120</c:v>
                </c:pt>
                <c:pt idx="40">
                  <c:v>88</c:v>
                </c:pt>
                <c:pt idx="41">
                  <c:v>167</c:v>
                </c:pt>
                <c:pt idx="42">
                  <c:v>125</c:v>
                </c:pt>
                <c:pt idx="43">
                  <c:v>146</c:v>
                </c:pt>
                <c:pt idx="44">
                  <c:v>167</c:v>
                </c:pt>
                <c:pt idx="45">
                  <c:v>178</c:v>
                </c:pt>
                <c:pt idx="46">
                  <c:v>128</c:v>
                </c:pt>
                <c:pt idx="47">
                  <c:v>154</c:v>
                </c:pt>
                <c:pt idx="48">
                  <c:v>155</c:v>
                </c:pt>
                <c:pt idx="49">
                  <c:v>139</c:v>
                </c:pt>
                <c:pt idx="50">
                  <c:v>186</c:v>
                </c:pt>
                <c:pt idx="51">
                  <c:v>161</c:v>
                </c:pt>
                <c:pt idx="52">
                  <c:v>137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126</c:v>
                </c:pt>
                <c:pt idx="59">
                  <c:v>120</c:v>
                </c:pt>
                <c:pt idx="60">
                  <c:v>138</c:v>
                </c:pt>
                <c:pt idx="61">
                  <c:v>146</c:v>
                </c:pt>
                <c:pt idx="62">
                  <c:v>106</c:v>
                </c:pt>
                <c:pt idx="63">
                  <c:v>123</c:v>
                </c:pt>
                <c:pt idx="64">
                  <c:v>137</c:v>
                </c:pt>
                <c:pt idx="65">
                  <c:v>148</c:v>
                </c:pt>
                <c:pt idx="66">
                  <c:v>152</c:v>
                </c:pt>
                <c:pt idx="67">
                  <c:v>152</c:v>
                </c:pt>
                <c:pt idx="68">
                  <c:v>125</c:v>
                </c:pt>
                <c:pt idx="69">
                  <c:v>138</c:v>
                </c:pt>
                <c:pt idx="70">
                  <c:v>124</c:v>
                </c:pt>
                <c:pt idx="71">
                  <c:v>124</c:v>
                </c:pt>
                <c:pt idx="72">
                  <c:v>142</c:v>
                </c:pt>
                <c:pt idx="73">
                  <c:v>108</c:v>
                </c:pt>
                <c:pt idx="74">
                  <c:v>117</c:v>
                </c:pt>
                <c:pt idx="75">
                  <c:v>140</c:v>
                </c:pt>
                <c:pt idx="76">
                  <c:v>147</c:v>
                </c:pt>
                <c:pt idx="77">
                  <c:v>132</c:v>
                </c:pt>
                <c:pt idx="78">
                  <c:v>146</c:v>
                </c:pt>
                <c:pt idx="79">
                  <c:v>143</c:v>
                </c:pt>
                <c:pt idx="80">
                  <c:v>119</c:v>
                </c:pt>
                <c:pt idx="81">
                  <c:v>170</c:v>
                </c:pt>
                <c:pt idx="82">
                  <c:v>139</c:v>
                </c:pt>
                <c:pt idx="83">
                  <c:v>136</c:v>
                </c:pt>
                <c:pt idx="84">
                  <c:v>131</c:v>
                </c:pt>
                <c:pt idx="85">
                  <c:v>109</c:v>
                </c:pt>
                <c:pt idx="86">
                  <c:v>125</c:v>
                </c:pt>
                <c:pt idx="87">
                  <c:v>109</c:v>
                </c:pt>
                <c:pt idx="88">
                  <c:v>142</c:v>
                </c:pt>
                <c:pt idx="89">
                  <c:v>73</c:v>
                </c:pt>
                <c:pt idx="90">
                  <c:v>102</c:v>
                </c:pt>
                <c:pt idx="91">
                  <c:v>194</c:v>
                </c:pt>
                <c:pt idx="92">
                  <c:v>108</c:v>
                </c:pt>
                <c:pt idx="93">
                  <c:v>111</c:v>
                </c:pt>
                <c:pt idx="94">
                  <c:v>105</c:v>
                </c:pt>
                <c:pt idx="95">
                  <c:v>121</c:v>
                </c:pt>
                <c:pt idx="96">
                  <c:v>111</c:v>
                </c:pt>
                <c:pt idx="97">
                  <c:v>100</c:v>
                </c:pt>
                <c:pt idx="98">
                  <c:v>161</c:v>
                </c:pt>
                <c:pt idx="99">
                  <c:v>132</c:v>
                </c:pt>
                <c:pt idx="100">
                  <c:v>99</c:v>
                </c:pt>
                <c:pt idx="101">
                  <c:v>95</c:v>
                </c:pt>
                <c:pt idx="102">
                  <c:v>107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98</c:v>
                </c:pt>
                <c:pt idx="110">
                  <c:v>143</c:v>
                </c:pt>
                <c:pt idx="111">
                  <c:v>111</c:v>
                </c:pt>
                <c:pt idx="112">
                  <c:v>104</c:v>
                </c:pt>
                <c:pt idx="113">
                  <c:v>127</c:v>
                </c:pt>
                <c:pt idx="114">
                  <c:v>133</c:v>
                </c:pt>
                <c:pt idx="115">
                  <c:v>130</c:v>
                </c:pt>
                <c:pt idx="116">
                  <c:v>145</c:v>
                </c:pt>
                <c:pt idx="117">
                  <c:v>140</c:v>
                </c:pt>
                <c:pt idx="118">
                  <c:v>96</c:v>
                </c:pt>
                <c:pt idx="119">
                  <c:v>145</c:v>
                </c:pt>
                <c:pt idx="120">
                  <c:v>103</c:v>
                </c:pt>
                <c:pt idx="121">
                  <c:v>73</c:v>
                </c:pt>
                <c:pt idx="122">
                  <c:v>124</c:v>
                </c:pt>
                <c:pt idx="123">
                  <c:v>121</c:v>
                </c:pt>
                <c:pt idx="124">
                  <c:v>95</c:v>
                </c:pt>
                <c:pt idx="125">
                  <c:v>113</c:v>
                </c:pt>
                <c:pt idx="126">
                  <c:v>145</c:v>
                </c:pt>
                <c:pt idx="127">
                  <c:v>124</c:v>
                </c:pt>
                <c:pt idx="128">
                  <c:v>142</c:v>
                </c:pt>
                <c:pt idx="129">
                  <c:v>142</c:v>
                </c:pt>
                <c:pt idx="130">
                  <c:v>102</c:v>
                </c:pt>
                <c:pt idx="131">
                  <c:v>125</c:v>
                </c:pt>
                <c:pt idx="132">
                  <c:v>132</c:v>
                </c:pt>
                <c:pt idx="133">
                  <c:v>110</c:v>
                </c:pt>
                <c:pt idx="134">
                  <c:v>118</c:v>
                </c:pt>
                <c:pt idx="135">
                  <c:v>141</c:v>
                </c:pt>
                <c:pt idx="136">
                  <c:v>108</c:v>
                </c:pt>
                <c:pt idx="137">
                  <c:v>125</c:v>
                </c:pt>
                <c:pt idx="138">
                  <c:v>95</c:v>
                </c:pt>
                <c:pt idx="139">
                  <c:v>134</c:v>
                </c:pt>
                <c:pt idx="140">
                  <c:v>136</c:v>
                </c:pt>
                <c:pt idx="141">
                  <c:v>129</c:v>
                </c:pt>
                <c:pt idx="142">
                  <c:v>145</c:v>
                </c:pt>
                <c:pt idx="143">
                  <c:v>112</c:v>
                </c:pt>
                <c:pt idx="144">
                  <c:v>157</c:v>
                </c:pt>
                <c:pt idx="145">
                  <c:v>155</c:v>
                </c:pt>
                <c:pt idx="146">
                  <c:v>138</c:v>
                </c:pt>
                <c:pt idx="147">
                  <c:v>134</c:v>
                </c:pt>
                <c:pt idx="148">
                  <c:v>85</c:v>
                </c:pt>
                <c:pt idx="149">
                  <c:v>157</c:v>
                </c:pt>
                <c:pt idx="150">
                  <c:v>108</c:v>
                </c:pt>
                <c:pt idx="151">
                  <c:v>129</c:v>
                </c:pt>
                <c:pt idx="152">
                  <c:v>93</c:v>
                </c:pt>
                <c:pt idx="153">
                  <c:v>104</c:v>
                </c:pt>
                <c:pt idx="154">
                  <c:v>110</c:v>
                </c:pt>
                <c:pt idx="155">
                  <c:v>154</c:v>
                </c:pt>
                <c:pt idx="156">
                  <c:v>110</c:v>
                </c:pt>
                <c:pt idx="157">
                  <c:v>136</c:v>
                </c:pt>
                <c:pt idx="158">
                  <c:v>105</c:v>
                </c:pt>
                <c:pt idx="159">
                  <c:v>126</c:v>
                </c:pt>
                <c:pt idx="160">
                  <c:v>137</c:v>
                </c:pt>
                <c:pt idx="161">
                  <c:v>131</c:v>
                </c:pt>
                <c:pt idx="162">
                  <c:v>135</c:v>
                </c:pt>
                <c:pt idx="163">
                  <c:v>122</c:v>
                </c:pt>
                <c:pt idx="164">
                  <c:v>114</c:v>
                </c:pt>
                <c:pt idx="165">
                  <c:v>146</c:v>
                </c:pt>
                <c:pt idx="166">
                  <c:v>108</c:v>
                </c:pt>
                <c:pt idx="167">
                  <c:v>99</c:v>
                </c:pt>
                <c:pt idx="168">
                  <c:v>105</c:v>
                </c:pt>
                <c:pt idx="169">
                  <c:v>121</c:v>
                </c:pt>
                <c:pt idx="170">
                  <c:v>81</c:v>
                </c:pt>
                <c:pt idx="171">
                  <c:v>133</c:v>
                </c:pt>
                <c:pt idx="172">
                  <c:v>131</c:v>
                </c:pt>
                <c:pt idx="173">
                  <c:v>96</c:v>
                </c:pt>
                <c:pt idx="174">
                  <c:v>103</c:v>
                </c:pt>
                <c:pt idx="175">
                  <c:v>125</c:v>
                </c:pt>
                <c:pt idx="176">
                  <c:v>107</c:v>
                </c:pt>
                <c:pt idx="177">
                  <c:v>120</c:v>
                </c:pt>
                <c:pt idx="178">
                  <c:v>123</c:v>
                </c:pt>
                <c:pt idx="179">
                  <c:v>97</c:v>
                </c:pt>
                <c:pt idx="180">
                  <c:v>134</c:v>
                </c:pt>
                <c:pt idx="181">
                  <c:v>119</c:v>
                </c:pt>
                <c:pt idx="182">
                  <c:v>91</c:v>
                </c:pt>
                <c:pt idx="183">
                  <c:v>82</c:v>
                </c:pt>
                <c:pt idx="184">
                  <c:v>82</c:v>
                </c:pt>
                <c:pt idx="185">
                  <c:v>114</c:v>
                </c:pt>
                <c:pt idx="186">
                  <c:v>127</c:v>
                </c:pt>
                <c:pt idx="187">
                  <c:v>182</c:v>
                </c:pt>
                <c:pt idx="188">
                  <c:v>142</c:v>
                </c:pt>
                <c:pt idx="189">
                  <c:v>158</c:v>
                </c:pt>
                <c:pt idx="190">
                  <c:v>155</c:v>
                </c:pt>
                <c:pt idx="191">
                  <c:v>111</c:v>
                </c:pt>
                <c:pt idx="192">
                  <c:v>146</c:v>
                </c:pt>
                <c:pt idx="193">
                  <c:v>123</c:v>
                </c:pt>
                <c:pt idx="194">
                  <c:v>111</c:v>
                </c:pt>
                <c:pt idx="195">
                  <c:v>97</c:v>
                </c:pt>
                <c:pt idx="196">
                  <c:v>134</c:v>
                </c:pt>
                <c:pt idx="197">
                  <c:v>79</c:v>
                </c:pt>
                <c:pt idx="198">
                  <c:v>103</c:v>
                </c:pt>
                <c:pt idx="199">
                  <c:v>113</c:v>
                </c:pt>
                <c:pt idx="200">
                  <c:v>111</c:v>
                </c:pt>
                <c:pt idx="201">
                  <c:v>118</c:v>
                </c:pt>
                <c:pt idx="202">
                  <c:v>141</c:v>
                </c:pt>
                <c:pt idx="203">
                  <c:v>100</c:v>
                </c:pt>
                <c:pt idx="204">
                  <c:v>129</c:v>
                </c:pt>
                <c:pt idx="205">
                  <c:v>135</c:v>
                </c:pt>
                <c:pt idx="206">
                  <c:v>136</c:v>
                </c:pt>
                <c:pt idx="207">
                  <c:v>84</c:v>
                </c:pt>
                <c:pt idx="208">
                  <c:v>87</c:v>
                </c:pt>
                <c:pt idx="209">
                  <c:v>124</c:v>
                </c:pt>
                <c:pt idx="210">
                  <c:v>110</c:v>
                </c:pt>
                <c:pt idx="211">
                  <c:v>107</c:v>
                </c:pt>
                <c:pt idx="212">
                  <c:v>130</c:v>
                </c:pt>
                <c:pt idx="213">
                  <c:v>110</c:v>
                </c:pt>
                <c:pt idx="214">
                  <c:v>93</c:v>
                </c:pt>
                <c:pt idx="215">
                  <c:v>155</c:v>
                </c:pt>
                <c:pt idx="216">
                  <c:v>123</c:v>
                </c:pt>
                <c:pt idx="217">
                  <c:v>91</c:v>
                </c:pt>
                <c:pt idx="218">
                  <c:v>154</c:v>
                </c:pt>
                <c:pt idx="219">
                  <c:v>126</c:v>
                </c:pt>
                <c:pt idx="220">
                  <c:v>100</c:v>
                </c:pt>
                <c:pt idx="221">
                  <c:v>138</c:v>
                </c:pt>
                <c:pt idx="222">
                  <c:v>78</c:v>
                </c:pt>
                <c:pt idx="223">
                  <c:v>132</c:v>
                </c:pt>
                <c:pt idx="224">
                  <c:v>122</c:v>
                </c:pt>
                <c:pt idx="225">
                  <c:v>108</c:v>
                </c:pt>
                <c:pt idx="226">
                  <c:v>141</c:v>
                </c:pt>
                <c:pt idx="227">
                  <c:v>117</c:v>
                </c:pt>
                <c:pt idx="228">
                  <c:v>107</c:v>
                </c:pt>
                <c:pt idx="229">
                  <c:v>129</c:v>
                </c:pt>
                <c:pt idx="230">
                  <c:v>135</c:v>
                </c:pt>
                <c:pt idx="231">
                  <c:v>127</c:v>
                </c:pt>
                <c:pt idx="232">
                  <c:v>89</c:v>
                </c:pt>
                <c:pt idx="233">
                  <c:v>137</c:v>
                </c:pt>
                <c:pt idx="234">
                  <c:v>102</c:v>
                </c:pt>
                <c:pt idx="235">
                  <c:v>111</c:v>
                </c:pt>
                <c:pt idx="236">
                  <c:v>130</c:v>
                </c:pt>
                <c:pt idx="237">
                  <c:v>99</c:v>
                </c:pt>
                <c:pt idx="238">
                  <c:v>135</c:v>
                </c:pt>
                <c:pt idx="239">
                  <c:v>123</c:v>
                </c:pt>
                <c:pt idx="240">
                  <c:v>131</c:v>
                </c:pt>
                <c:pt idx="241">
                  <c:v>110</c:v>
                </c:pt>
                <c:pt idx="242">
                  <c:v>110</c:v>
                </c:pt>
                <c:pt idx="243">
                  <c:v>169</c:v>
                </c:pt>
                <c:pt idx="244">
                  <c:v>98</c:v>
                </c:pt>
                <c:pt idx="245">
                  <c:v>132</c:v>
                </c:pt>
                <c:pt idx="246">
                  <c:v>133</c:v>
                </c:pt>
                <c:pt idx="247">
                  <c:v>90</c:v>
                </c:pt>
                <c:pt idx="248">
                  <c:v>82</c:v>
                </c:pt>
                <c:pt idx="249">
                  <c:v>121</c:v>
                </c:pt>
                <c:pt idx="250">
                  <c:v>109</c:v>
                </c:pt>
                <c:pt idx="251">
                  <c:v>127</c:v>
                </c:pt>
                <c:pt idx="252">
                  <c:v>118</c:v>
                </c:pt>
                <c:pt idx="253">
                  <c:v>100</c:v>
                </c:pt>
                <c:pt idx="254">
                  <c:v>96</c:v>
                </c:pt>
                <c:pt idx="255">
                  <c:v>106</c:v>
                </c:pt>
                <c:pt idx="256">
                  <c:v>93</c:v>
                </c:pt>
                <c:pt idx="257">
                  <c:v>139</c:v>
                </c:pt>
                <c:pt idx="258">
                  <c:v>126</c:v>
                </c:pt>
                <c:pt idx="259">
                  <c:v>106</c:v>
                </c:pt>
                <c:pt idx="260">
                  <c:v>112</c:v>
                </c:pt>
                <c:pt idx="261">
                  <c:v>107</c:v>
                </c:pt>
                <c:pt idx="262">
                  <c:v>142</c:v>
                </c:pt>
                <c:pt idx="263">
                  <c:v>126</c:v>
                </c:pt>
                <c:pt idx="264">
                  <c:v>98</c:v>
                </c:pt>
                <c:pt idx="265">
                  <c:v>128</c:v>
                </c:pt>
                <c:pt idx="266">
                  <c:v>146</c:v>
                </c:pt>
                <c:pt idx="267">
                  <c:v>131</c:v>
                </c:pt>
                <c:pt idx="268">
                  <c:v>132</c:v>
                </c:pt>
                <c:pt idx="269">
                  <c:v>104</c:v>
                </c:pt>
                <c:pt idx="270">
                  <c:v>125</c:v>
                </c:pt>
                <c:pt idx="271">
                  <c:v>100</c:v>
                </c:pt>
                <c:pt idx="272">
                  <c:v>124</c:v>
                </c:pt>
                <c:pt idx="273">
                  <c:v>134</c:v>
                </c:pt>
                <c:pt idx="274">
                  <c:v>130</c:v>
                </c:pt>
                <c:pt idx="275">
                  <c:v>100</c:v>
                </c:pt>
                <c:pt idx="276">
                  <c:v>116</c:v>
                </c:pt>
                <c:pt idx="277">
                  <c:v>128</c:v>
                </c:pt>
                <c:pt idx="278">
                  <c:v>101</c:v>
                </c:pt>
                <c:pt idx="279">
                  <c:v>106</c:v>
                </c:pt>
                <c:pt idx="280">
                  <c:v>123</c:v>
                </c:pt>
                <c:pt idx="281">
                  <c:v>130</c:v>
                </c:pt>
                <c:pt idx="282">
                  <c:v>90</c:v>
                </c:pt>
                <c:pt idx="283">
                  <c:v>110</c:v>
                </c:pt>
                <c:pt idx="284">
                  <c:v>125</c:v>
                </c:pt>
                <c:pt idx="285">
                  <c:v>139</c:v>
                </c:pt>
                <c:pt idx="286">
                  <c:v>130</c:v>
                </c:pt>
                <c:pt idx="287">
                  <c:v>103</c:v>
                </c:pt>
                <c:pt idx="288">
                  <c:v>115</c:v>
                </c:pt>
                <c:pt idx="289">
                  <c:v>90</c:v>
                </c:pt>
                <c:pt idx="290">
                  <c:v>87</c:v>
                </c:pt>
                <c:pt idx="291">
                  <c:v>90</c:v>
                </c:pt>
                <c:pt idx="292">
                  <c:v>146</c:v>
                </c:pt>
                <c:pt idx="293">
                  <c:v>157</c:v>
                </c:pt>
                <c:pt idx="294">
                  <c:v>120</c:v>
                </c:pt>
                <c:pt idx="295">
                  <c:v>110</c:v>
                </c:pt>
                <c:pt idx="296">
                  <c:v>97</c:v>
                </c:pt>
                <c:pt idx="297">
                  <c:v>101</c:v>
                </c:pt>
                <c:pt idx="298">
                  <c:v>106</c:v>
                </c:pt>
                <c:pt idx="299">
                  <c:v>111</c:v>
                </c:pt>
                <c:pt idx="300">
                  <c:v>94</c:v>
                </c:pt>
                <c:pt idx="301">
                  <c:v>92</c:v>
                </c:pt>
                <c:pt idx="302">
                  <c:v>115</c:v>
                </c:pt>
                <c:pt idx="303">
                  <c:v>100</c:v>
                </c:pt>
                <c:pt idx="304">
                  <c:v>121</c:v>
                </c:pt>
                <c:pt idx="305">
                  <c:v>83</c:v>
                </c:pt>
                <c:pt idx="306">
                  <c:v>102</c:v>
                </c:pt>
                <c:pt idx="307">
                  <c:v>95</c:v>
                </c:pt>
                <c:pt idx="308">
                  <c:v>100</c:v>
                </c:pt>
                <c:pt idx="309">
                  <c:v>84</c:v>
                </c:pt>
                <c:pt idx="310">
                  <c:v>103</c:v>
                </c:pt>
                <c:pt idx="311">
                  <c:v>136</c:v>
                </c:pt>
                <c:pt idx="312">
                  <c:v>125</c:v>
                </c:pt>
                <c:pt idx="313">
                  <c:v>98</c:v>
                </c:pt>
                <c:pt idx="314">
                  <c:v>111</c:v>
                </c:pt>
                <c:pt idx="315">
                  <c:v>105</c:v>
                </c:pt>
                <c:pt idx="316">
                  <c:v>117</c:v>
                </c:pt>
                <c:pt idx="317">
                  <c:v>117</c:v>
                </c:pt>
                <c:pt idx="318">
                  <c:v>116</c:v>
                </c:pt>
                <c:pt idx="319">
                  <c:v>69</c:v>
                </c:pt>
                <c:pt idx="320">
                  <c:v>103</c:v>
                </c:pt>
                <c:pt idx="321">
                  <c:v>103</c:v>
                </c:pt>
                <c:pt idx="322">
                  <c:v>103</c:v>
                </c:pt>
                <c:pt idx="323">
                  <c:v>90</c:v>
                </c:pt>
                <c:pt idx="324">
                  <c:v>117</c:v>
                </c:pt>
                <c:pt idx="325">
                  <c:v>125</c:v>
                </c:pt>
                <c:pt idx="326">
                  <c:v>116</c:v>
                </c:pt>
                <c:pt idx="327">
                  <c:v>98</c:v>
                </c:pt>
                <c:pt idx="328">
                  <c:v>84</c:v>
                </c:pt>
                <c:pt idx="329">
                  <c:v>110</c:v>
                </c:pt>
                <c:pt idx="330">
                  <c:v>112</c:v>
                </c:pt>
                <c:pt idx="331">
                  <c:v>109</c:v>
                </c:pt>
                <c:pt idx="332">
                  <c:v>82</c:v>
                </c:pt>
                <c:pt idx="333">
                  <c:v>132</c:v>
                </c:pt>
                <c:pt idx="334">
                  <c:v>111</c:v>
                </c:pt>
                <c:pt idx="335">
                  <c:v>98</c:v>
                </c:pt>
                <c:pt idx="336">
                  <c:v>103</c:v>
                </c:pt>
                <c:pt idx="337">
                  <c:v>143</c:v>
                </c:pt>
                <c:pt idx="338">
                  <c:v>114</c:v>
                </c:pt>
                <c:pt idx="339">
                  <c:v>81</c:v>
                </c:pt>
                <c:pt idx="340">
                  <c:v>99</c:v>
                </c:pt>
                <c:pt idx="341">
                  <c:v>125</c:v>
                </c:pt>
                <c:pt idx="342">
                  <c:v>78</c:v>
                </c:pt>
                <c:pt idx="343">
                  <c:v>108</c:v>
                </c:pt>
                <c:pt idx="344">
                  <c:v>94</c:v>
                </c:pt>
                <c:pt idx="345">
                  <c:v>90</c:v>
                </c:pt>
                <c:pt idx="346">
                  <c:v>110</c:v>
                </c:pt>
                <c:pt idx="347">
                  <c:v>94</c:v>
                </c:pt>
                <c:pt idx="348">
                  <c:v>142</c:v>
                </c:pt>
                <c:pt idx="349">
                  <c:v>139</c:v>
                </c:pt>
                <c:pt idx="350">
                  <c:v>114</c:v>
                </c:pt>
                <c:pt idx="351">
                  <c:v>112</c:v>
                </c:pt>
                <c:pt idx="352">
                  <c:v>127</c:v>
                </c:pt>
                <c:pt idx="353">
                  <c:v>124</c:v>
                </c:pt>
                <c:pt idx="354">
                  <c:v>110</c:v>
                </c:pt>
                <c:pt idx="355">
                  <c:v>119</c:v>
                </c:pt>
                <c:pt idx="356">
                  <c:v>101</c:v>
                </c:pt>
                <c:pt idx="357">
                  <c:v>98</c:v>
                </c:pt>
                <c:pt idx="358">
                  <c:v>145</c:v>
                </c:pt>
                <c:pt idx="359">
                  <c:v>134</c:v>
                </c:pt>
                <c:pt idx="360">
                  <c:v>135</c:v>
                </c:pt>
                <c:pt idx="361">
                  <c:v>120</c:v>
                </c:pt>
                <c:pt idx="362">
                  <c:v>131</c:v>
                </c:pt>
                <c:pt idx="363">
                  <c:v>118</c:v>
                </c:pt>
                <c:pt idx="364">
                  <c:v>104</c:v>
                </c:pt>
                <c:pt idx="365">
                  <c:v>150</c:v>
                </c:pt>
                <c:pt idx="366">
                  <c:v>118</c:v>
                </c:pt>
                <c:pt idx="367">
                  <c:v>161</c:v>
                </c:pt>
                <c:pt idx="368">
                  <c:v>136</c:v>
                </c:pt>
                <c:pt idx="369">
                  <c:v>132</c:v>
                </c:pt>
                <c:pt idx="370">
                  <c:v>148</c:v>
                </c:pt>
                <c:pt idx="371">
                  <c:v>94</c:v>
                </c:pt>
                <c:pt idx="372">
                  <c:v>95</c:v>
                </c:pt>
                <c:pt idx="373">
                  <c:v>161</c:v>
                </c:pt>
                <c:pt idx="374">
                  <c:v>121</c:v>
                </c:pt>
                <c:pt idx="375">
                  <c:v>136</c:v>
                </c:pt>
                <c:pt idx="376">
                  <c:v>104</c:v>
                </c:pt>
                <c:pt idx="377">
                  <c:v>99</c:v>
                </c:pt>
                <c:pt idx="378">
                  <c:v>81</c:v>
                </c:pt>
                <c:pt idx="379">
                  <c:v>135</c:v>
                </c:pt>
                <c:pt idx="380">
                  <c:v>126</c:v>
                </c:pt>
                <c:pt idx="381">
                  <c:v>88</c:v>
                </c:pt>
                <c:pt idx="382">
                  <c:v>116</c:v>
                </c:pt>
                <c:pt idx="383">
                  <c:v>111</c:v>
                </c:pt>
                <c:pt idx="384">
                  <c:v>79</c:v>
                </c:pt>
                <c:pt idx="385">
                  <c:v>109</c:v>
                </c:pt>
                <c:pt idx="386">
                  <c:v>81</c:v>
                </c:pt>
                <c:pt idx="387">
                  <c:v>60</c:v>
                </c:pt>
                <c:pt idx="388">
                  <c:v>132</c:v>
                </c:pt>
                <c:pt idx="389">
                  <c:v>100</c:v>
                </c:pt>
                <c:pt idx="390">
                  <c:v>104</c:v>
                </c:pt>
                <c:pt idx="391">
                  <c:v>99</c:v>
                </c:pt>
                <c:pt idx="392">
                  <c:v>88</c:v>
                </c:pt>
                <c:pt idx="393">
                  <c:v>132</c:v>
                </c:pt>
                <c:pt idx="394">
                  <c:v>191</c:v>
                </c:pt>
                <c:pt idx="395">
                  <c:v>103</c:v>
                </c:pt>
                <c:pt idx="396">
                  <c:v>120</c:v>
                </c:pt>
                <c:pt idx="397">
                  <c:v>90</c:v>
                </c:pt>
                <c:pt idx="398">
                  <c:v>110</c:v>
                </c:pt>
                <c:pt idx="399">
                  <c:v>143</c:v>
                </c:pt>
                <c:pt idx="400">
                  <c:v>152</c:v>
                </c:pt>
                <c:pt idx="401">
                  <c:v>154</c:v>
                </c:pt>
                <c:pt idx="402">
                  <c:v>100</c:v>
                </c:pt>
                <c:pt idx="403">
                  <c:v>91</c:v>
                </c:pt>
                <c:pt idx="404">
                  <c:v>115</c:v>
                </c:pt>
                <c:pt idx="405">
                  <c:v>126</c:v>
                </c:pt>
                <c:pt idx="406">
                  <c:v>103</c:v>
                </c:pt>
                <c:pt idx="407">
                  <c:v>123</c:v>
                </c:pt>
                <c:pt idx="408">
                  <c:v>86</c:v>
                </c:pt>
                <c:pt idx="409">
                  <c:v>70</c:v>
                </c:pt>
                <c:pt idx="410">
                  <c:v>108</c:v>
                </c:pt>
                <c:pt idx="411">
                  <c:v>137</c:v>
                </c:pt>
                <c:pt idx="412">
                  <c:v>135</c:v>
                </c:pt>
                <c:pt idx="413">
                  <c:v>116</c:v>
                </c:pt>
                <c:pt idx="414">
                  <c:v>103</c:v>
                </c:pt>
                <c:pt idx="415">
                  <c:v>127</c:v>
                </c:pt>
                <c:pt idx="416">
                  <c:v>107</c:v>
                </c:pt>
                <c:pt idx="417">
                  <c:v>119</c:v>
                </c:pt>
                <c:pt idx="418">
                  <c:v>97</c:v>
                </c:pt>
                <c:pt idx="419">
                  <c:v>134</c:v>
                </c:pt>
                <c:pt idx="420">
                  <c:v>121</c:v>
                </c:pt>
                <c:pt idx="421">
                  <c:v>131</c:v>
                </c:pt>
                <c:pt idx="422">
                  <c:v>113</c:v>
                </c:pt>
                <c:pt idx="423">
                  <c:v>125</c:v>
                </c:pt>
                <c:pt idx="424">
                  <c:v>87</c:v>
                </c:pt>
                <c:pt idx="425">
                  <c:v>83</c:v>
                </c:pt>
                <c:pt idx="426">
                  <c:v>92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86</c:v>
                </c:pt>
                <c:pt idx="433">
                  <c:v>96</c:v>
                </c:pt>
                <c:pt idx="434">
                  <c:v>114</c:v>
                </c:pt>
                <c:pt idx="435">
                  <c:v>102</c:v>
                </c:pt>
                <c:pt idx="436">
                  <c:v>112</c:v>
                </c:pt>
                <c:pt idx="437">
                  <c:v>106</c:v>
                </c:pt>
                <c:pt idx="438">
                  <c:v>127</c:v>
                </c:pt>
                <c:pt idx="439">
                  <c:v>96</c:v>
                </c:pt>
                <c:pt idx="440">
                  <c:v>122</c:v>
                </c:pt>
                <c:pt idx="441">
                  <c:v>100</c:v>
                </c:pt>
                <c:pt idx="442">
                  <c:v>121</c:v>
                </c:pt>
                <c:pt idx="443">
                  <c:v>82</c:v>
                </c:pt>
                <c:pt idx="444">
                  <c:v>125</c:v>
                </c:pt>
                <c:pt idx="445">
                  <c:v>92</c:v>
                </c:pt>
                <c:pt idx="446">
                  <c:v>112</c:v>
                </c:pt>
                <c:pt idx="447">
                  <c:v>103</c:v>
                </c:pt>
                <c:pt idx="448">
                  <c:v>109</c:v>
                </c:pt>
                <c:pt idx="449">
                  <c:v>115</c:v>
                </c:pt>
                <c:pt idx="450">
                  <c:v>114</c:v>
                </c:pt>
                <c:pt idx="451">
                  <c:v>97</c:v>
                </c:pt>
                <c:pt idx="452">
                  <c:v>117</c:v>
                </c:pt>
                <c:pt idx="453">
                  <c:v>129</c:v>
                </c:pt>
                <c:pt idx="454">
                  <c:v>96</c:v>
                </c:pt>
                <c:pt idx="455">
                  <c:v>133</c:v>
                </c:pt>
                <c:pt idx="456">
                  <c:v>102</c:v>
                </c:pt>
                <c:pt idx="457">
                  <c:v>108</c:v>
                </c:pt>
                <c:pt idx="458">
                  <c:v>108</c:v>
                </c:pt>
                <c:pt idx="459">
                  <c:v>130</c:v>
                </c:pt>
                <c:pt idx="460">
                  <c:v>124</c:v>
                </c:pt>
                <c:pt idx="461">
                  <c:v>110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122</c:v>
                </c:pt>
                <c:pt idx="468">
                  <c:v>143</c:v>
                </c:pt>
                <c:pt idx="469">
                  <c:v>130</c:v>
                </c:pt>
                <c:pt idx="470">
                  <c:v>84</c:v>
                </c:pt>
                <c:pt idx="471">
                  <c:v>154</c:v>
                </c:pt>
                <c:pt idx="472">
                  <c:v>105</c:v>
                </c:pt>
                <c:pt idx="473">
                  <c:v>123</c:v>
                </c:pt>
                <c:pt idx="474">
                  <c:v>190</c:v>
                </c:pt>
                <c:pt idx="475">
                  <c:v>102</c:v>
                </c:pt>
                <c:pt idx="476">
                  <c:v>113</c:v>
                </c:pt>
                <c:pt idx="477">
                  <c:v>115</c:v>
                </c:pt>
                <c:pt idx="478">
                  <c:v>118</c:v>
                </c:pt>
                <c:pt idx="479">
                  <c:v>121</c:v>
                </c:pt>
                <c:pt idx="480">
                  <c:v>147</c:v>
                </c:pt>
                <c:pt idx="481">
                  <c:v>118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105</c:v>
                </c:pt>
                <c:pt idx="488">
                  <c:v>124</c:v>
                </c:pt>
                <c:pt idx="489">
                  <c:v>108</c:v>
                </c:pt>
                <c:pt idx="490">
                  <c:v>111</c:v>
                </c:pt>
                <c:pt idx="491">
                  <c:v>101</c:v>
                </c:pt>
                <c:pt idx="492">
                  <c:v>84</c:v>
                </c:pt>
                <c:pt idx="493">
                  <c:v>123</c:v>
                </c:pt>
                <c:pt idx="494">
                  <c:v>101</c:v>
                </c:pt>
                <c:pt idx="495">
                  <c:v>126</c:v>
                </c:pt>
                <c:pt idx="496">
                  <c:v>124</c:v>
                </c:pt>
                <c:pt idx="497">
                  <c:v>141</c:v>
                </c:pt>
                <c:pt idx="498">
                  <c:v>160</c:v>
                </c:pt>
                <c:pt idx="499">
                  <c:v>97</c:v>
                </c:pt>
                <c:pt idx="500">
                  <c:v>101</c:v>
                </c:pt>
                <c:pt idx="501">
                  <c:v>117</c:v>
                </c:pt>
                <c:pt idx="502">
                  <c:v>80</c:v>
                </c:pt>
                <c:pt idx="503">
                  <c:v>158</c:v>
                </c:pt>
                <c:pt idx="504">
                  <c:v>118</c:v>
                </c:pt>
                <c:pt idx="505">
                  <c:v>144</c:v>
                </c:pt>
                <c:pt idx="506">
                  <c:v>110</c:v>
                </c:pt>
                <c:pt idx="507">
                  <c:v>112</c:v>
                </c:pt>
                <c:pt idx="508">
                  <c:v>119</c:v>
                </c:pt>
                <c:pt idx="509">
                  <c:v>119</c:v>
                </c:pt>
                <c:pt idx="510">
                  <c:v>111</c:v>
                </c:pt>
                <c:pt idx="511">
                  <c:v>106</c:v>
                </c:pt>
                <c:pt idx="512">
                  <c:v>95</c:v>
                </c:pt>
                <c:pt idx="513">
                  <c:v>153</c:v>
                </c:pt>
                <c:pt idx="514">
                  <c:v>181</c:v>
                </c:pt>
                <c:pt idx="515">
                  <c:v>132</c:v>
                </c:pt>
                <c:pt idx="516">
                  <c:v>108</c:v>
                </c:pt>
                <c:pt idx="517">
                  <c:v>110</c:v>
                </c:pt>
                <c:pt idx="518">
                  <c:v>106</c:v>
                </c:pt>
                <c:pt idx="519">
                  <c:v>151</c:v>
                </c:pt>
                <c:pt idx="520">
                  <c:v>93</c:v>
                </c:pt>
                <c:pt idx="521">
                  <c:v>111</c:v>
                </c:pt>
                <c:pt idx="522">
                  <c:v>123</c:v>
                </c:pt>
                <c:pt idx="523">
                  <c:v>114</c:v>
                </c:pt>
                <c:pt idx="524">
                  <c:v>136</c:v>
                </c:pt>
                <c:pt idx="525">
                  <c:v>116</c:v>
                </c:pt>
                <c:pt idx="526">
                  <c:v>139</c:v>
                </c:pt>
                <c:pt idx="527">
                  <c:v>124</c:v>
                </c:pt>
                <c:pt idx="528">
                  <c:v>150</c:v>
                </c:pt>
                <c:pt idx="529">
                  <c:v>122</c:v>
                </c:pt>
                <c:pt idx="530">
                  <c:v>128</c:v>
                </c:pt>
                <c:pt idx="531">
                  <c:v>181</c:v>
                </c:pt>
                <c:pt idx="532">
                  <c:v>110</c:v>
                </c:pt>
                <c:pt idx="533">
                  <c:v>144</c:v>
                </c:pt>
                <c:pt idx="534">
                  <c:v>107</c:v>
                </c:pt>
                <c:pt idx="535">
                  <c:v>115</c:v>
                </c:pt>
                <c:pt idx="536">
                  <c:v>126</c:v>
                </c:pt>
                <c:pt idx="537">
                  <c:v>129</c:v>
                </c:pt>
                <c:pt idx="538">
                  <c:v>114</c:v>
                </c:pt>
                <c:pt idx="539">
                  <c:v>139</c:v>
                </c:pt>
                <c:pt idx="540">
                  <c:v>119</c:v>
                </c:pt>
                <c:pt idx="541">
                  <c:v>102</c:v>
                </c:pt>
                <c:pt idx="542">
                  <c:v>106</c:v>
                </c:pt>
                <c:pt idx="543">
                  <c:v>196</c:v>
                </c:pt>
                <c:pt idx="544">
                  <c:v>165</c:v>
                </c:pt>
                <c:pt idx="545">
                  <c:v>156</c:v>
                </c:pt>
                <c:pt idx="546">
                  <c:v>181</c:v>
                </c:pt>
                <c:pt idx="547">
                  <c:v>93</c:v>
                </c:pt>
                <c:pt idx="548">
                  <c:v>131</c:v>
                </c:pt>
                <c:pt idx="549">
                  <c:v>102</c:v>
                </c:pt>
                <c:pt idx="550">
                  <c:v>114</c:v>
                </c:pt>
                <c:pt idx="551">
                  <c:v>112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122</c:v>
                </c:pt>
                <c:pt idx="558">
                  <c:v>146</c:v>
                </c:pt>
                <c:pt idx="559">
                  <c:v>122</c:v>
                </c:pt>
                <c:pt idx="560">
                  <c:v>149</c:v>
                </c:pt>
                <c:pt idx="561">
                  <c:v>166</c:v>
                </c:pt>
                <c:pt idx="562">
                  <c:v>137</c:v>
                </c:pt>
                <c:pt idx="563">
                  <c:v>101</c:v>
                </c:pt>
                <c:pt idx="564">
                  <c:v>117</c:v>
                </c:pt>
                <c:pt idx="565">
                  <c:v>123</c:v>
                </c:pt>
                <c:pt idx="566">
                  <c:v>147</c:v>
                </c:pt>
                <c:pt idx="567">
                  <c:v>149</c:v>
                </c:pt>
                <c:pt idx="568">
                  <c:v>137</c:v>
                </c:pt>
                <c:pt idx="569">
                  <c:v>181</c:v>
                </c:pt>
                <c:pt idx="570">
                  <c:v>112</c:v>
                </c:pt>
                <c:pt idx="571">
                  <c:v>148</c:v>
                </c:pt>
                <c:pt idx="572">
                  <c:v>159</c:v>
                </c:pt>
                <c:pt idx="573">
                  <c:v>129</c:v>
                </c:pt>
                <c:pt idx="574">
                  <c:v>85</c:v>
                </c:pt>
                <c:pt idx="575">
                  <c:v>167</c:v>
                </c:pt>
                <c:pt idx="576">
                  <c:v>168</c:v>
                </c:pt>
                <c:pt idx="577">
                  <c:v>145</c:v>
                </c:pt>
                <c:pt idx="578">
                  <c:v>116</c:v>
                </c:pt>
                <c:pt idx="579">
                  <c:v>116</c:v>
                </c:pt>
                <c:pt idx="580">
                  <c:v>133</c:v>
                </c:pt>
                <c:pt idx="581">
                  <c:v>154</c:v>
                </c:pt>
                <c:pt idx="582">
                  <c:v>137</c:v>
                </c:pt>
                <c:pt idx="583">
                  <c:v>145</c:v>
                </c:pt>
                <c:pt idx="584">
                  <c:v>165</c:v>
                </c:pt>
                <c:pt idx="585">
                  <c:v>105</c:v>
                </c:pt>
                <c:pt idx="586">
                  <c:v>152</c:v>
                </c:pt>
                <c:pt idx="587">
                  <c:v>103</c:v>
                </c:pt>
                <c:pt idx="588">
                  <c:v>129</c:v>
                </c:pt>
                <c:pt idx="589">
                  <c:v>154</c:v>
                </c:pt>
                <c:pt idx="590">
                  <c:v>138</c:v>
                </c:pt>
                <c:pt idx="591">
                  <c:v>126</c:v>
                </c:pt>
                <c:pt idx="592">
                  <c:v>136</c:v>
                </c:pt>
                <c:pt idx="593">
                  <c:v>120</c:v>
                </c:pt>
                <c:pt idx="594">
                  <c:v>131</c:v>
                </c:pt>
                <c:pt idx="595">
                  <c:v>163</c:v>
                </c:pt>
                <c:pt idx="596">
                  <c:v>123</c:v>
                </c:pt>
                <c:pt idx="597">
                  <c:v>119</c:v>
                </c:pt>
                <c:pt idx="598">
                  <c:v>112</c:v>
                </c:pt>
                <c:pt idx="599">
                  <c:v>85</c:v>
                </c:pt>
                <c:pt idx="600">
                  <c:v>112</c:v>
                </c:pt>
                <c:pt idx="601">
                  <c:v>109</c:v>
                </c:pt>
                <c:pt idx="602">
                  <c:v>132</c:v>
                </c:pt>
                <c:pt idx="603">
                  <c:v>143</c:v>
                </c:pt>
                <c:pt idx="604">
                  <c:v>126</c:v>
                </c:pt>
                <c:pt idx="605">
                  <c:v>155</c:v>
                </c:pt>
                <c:pt idx="606">
                  <c:v>121</c:v>
                </c:pt>
                <c:pt idx="607">
                  <c:v>131</c:v>
                </c:pt>
                <c:pt idx="608">
                  <c:v>136</c:v>
                </c:pt>
                <c:pt idx="609">
                  <c:v>127</c:v>
                </c:pt>
                <c:pt idx="610">
                  <c:v>122</c:v>
                </c:pt>
                <c:pt idx="611">
                  <c:v>136</c:v>
                </c:pt>
                <c:pt idx="612">
                  <c:v>96</c:v>
                </c:pt>
                <c:pt idx="613">
                  <c:v>114</c:v>
                </c:pt>
                <c:pt idx="614">
                  <c:v>119</c:v>
                </c:pt>
                <c:pt idx="615">
                  <c:v>130</c:v>
                </c:pt>
                <c:pt idx="616">
                  <c:v>128</c:v>
                </c:pt>
                <c:pt idx="617">
                  <c:v>133</c:v>
                </c:pt>
                <c:pt idx="618">
                  <c:v>140</c:v>
                </c:pt>
                <c:pt idx="619">
                  <c:v>159</c:v>
                </c:pt>
                <c:pt idx="620">
                  <c:v>122</c:v>
                </c:pt>
                <c:pt idx="621">
                  <c:v>160</c:v>
                </c:pt>
                <c:pt idx="622">
                  <c:v>114</c:v>
                </c:pt>
                <c:pt idx="623">
                  <c:v>115</c:v>
                </c:pt>
                <c:pt idx="624">
                  <c:v>137</c:v>
                </c:pt>
                <c:pt idx="625">
                  <c:v>101</c:v>
                </c:pt>
                <c:pt idx="626">
                  <c:v>131</c:v>
                </c:pt>
                <c:pt idx="627">
                  <c:v>133</c:v>
                </c:pt>
                <c:pt idx="628">
                  <c:v>134</c:v>
                </c:pt>
                <c:pt idx="629">
                  <c:v>122</c:v>
                </c:pt>
                <c:pt idx="630">
                  <c:v>174</c:v>
                </c:pt>
                <c:pt idx="631">
                  <c:v>159</c:v>
                </c:pt>
                <c:pt idx="632">
                  <c:v>115</c:v>
                </c:pt>
                <c:pt idx="633">
                  <c:v>148</c:v>
                </c:pt>
                <c:pt idx="634">
                  <c:v>118</c:v>
                </c:pt>
                <c:pt idx="635">
                  <c:v>139</c:v>
                </c:pt>
                <c:pt idx="636">
                  <c:v>143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135</c:v>
                </c:pt>
                <c:pt idx="648">
                  <c:v>136</c:v>
                </c:pt>
                <c:pt idx="649">
                  <c:v>137</c:v>
                </c:pt>
                <c:pt idx="650">
                  <c:v>166</c:v>
                </c:pt>
                <c:pt idx="651">
                  <c:v>139</c:v>
                </c:pt>
                <c:pt idx="652">
                  <c:v>100</c:v>
                </c:pt>
                <c:pt idx="653">
                  <c:v>171</c:v>
                </c:pt>
                <c:pt idx="654">
                  <c:v>140</c:v>
                </c:pt>
                <c:pt idx="655">
                  <c:v>100</c:v>
                </c:pt>
                <c:pt idx="656">
                  <c:v>142</c:v>
                </c:pt>
                <c:pt idx="657">
                  <c:v>135</c:v>
                </c:pt>
                <c:pt idx="658">
                  <c:v>130</c:v>
                </c:pt>
                <c:pt idx="659">
                  <c:v>144</c:v>
                </c:pt>
                <c:pt idx="660">
                  <c:v>130</c:v>
                </c:pt>
                <c:pt idx="661">
                  <c:v>104</c:v>
                </c:pt>
                <c:pt idx="662">
                  <c:v>194</c:v>
                </c:pt>
                <c:pt idx="663">
                  <c:v>115</c:v>
                </c:pt>
                <c:pt idx="664">
                  <c:v>114</c:v>
                </c:pt>
                <c:pt idx="665">
                  <c:v>138</c:v>
                </c:pt>
                <c:pt idx="666">
                  <c:v>105</c:v>
                </c:pt>
                <c:pt idx="667">
                  <c:v>107</c:v>
                </c:pt>
                <c:pt idx="668">
                  <c:v>134</c:v>
                </c:pt>
                <c:pt idx="669">
                  <c:v>128</c:v>
                </c:pt>
                <c:pt idx="670">
                  <c:v>153</c:v>
                </c:pt>
                <c:pt idx="671">
                  <c:v>161</c:v>
                </c:pt>
                <c:pt idx="672">
                  <c:v>116</c:v>
                </c:pt>
                <c:pt idx="673">
                  <c:v>139</c:v>
                </c:pt>
                <c:pt idx="674">
                  <c:v>141</c:v>
                </c:pt>
                <c:pt idx="675">
                  <c:v>167</c:v>
                </c:pt>
                <c:pt idx="676">
                  <c:v>90</c:v>
                </c:pt>
                <c:pt idx="677">
                  <c:v>148</c:v>
                </c:pt>
                <c:pt idx="678">
                  <c:v>124</c:v>
                </c:pt>
                <c:pt idx="679">
                  <c:v>145</c:v>
                </c:pt>
                <c:pt idx="680">
                  <c:v>136</c:v>
                </c:pt>
                <c:pt idx="681">
                  <c:v>130</c:v>
                </c:pt>
                <c:pt idx="682">
                  <c:v>178</c:v>
                </c:pt>
                <c:pt idx="683">
                  <c:v>156</c:v>
                </c:pt>
                <c:pt idx="684">
                  <c:v>145</c:v>
                </c:pt>
                <c:pt idx="685">
                  <c:v>152</c:v>
                </c:pt>
                <c:pt idx="686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5D-4193-B048-6975DF8C26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0789391"/>
        <c:axId val="681908111"/>
      </c:lineChart>
      <c:catAx>
        <c:axId val="680789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81908111"/>
        <c:crosses val="autoZero"/>
        <c:auto val="1"/>
        <c:lblAlgn val="ctr"/>
        <c:lblOffset val="100"/>
        <c:noMultiLvlLbl val="0"/>
      </c:catAx>
      <c:valAx>
        <c:axId val="6819081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crossAx val="68078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Donald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圖表!$C$3:$C$24</c:f>
              <c:strCache>
                <c:ptCount val="22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1 </c:v>
                </c:pt>
                <c:pt idx="4">
                  <c:v>2 </c:v>
                </c:pt>
                <c:pt idx="5">
                  <c:v>3 </c:v>
                </c:pt>
                <c:pt idx="6">
                  <c:v>4 </c:v>
                </c:pt>
                <c:pt idx="7">
                  <c:v>5 </c:v>
                </c:pt>
                <c:pt idx="8">
                  <c:v>1 </c:v>
                </c:pt>
                <c:pt idx="9">
                  <c:v>2 </c:v>
                </c:pt>
                <c:pt idx="10">
                  <c:v>3 </c:v>
                </c:pt>
                <c:pt idx="11">
                  <c:v>1 </c:v>
                </c:pt>
                <c:pt idx="12">
                  <c:v>2 </c:v>
                </c:pt>
                <c:pt idx="13">
                  <c:v>3 </c:v>
                </c:pt>
                <c:pt idx="14">
                  <c:v>4 </c:v>
                </c:pt>
                <c:pt idx="15">
                  <c:v>5 </c:v>
                </c:pt>
                <c:pt idx="16">
                  <c:v>1 </c:v>
                </c:pt>
                <c:pt idx="17">
                  <c:v>2 </c:v>
                </c:pt>
                <c:pt idx="18">
                  <c:v>3 </c:v>
                </c:pt>
                <c:pt idx="19">
                  <c:v>4 </c:v>
                </c:pt>
                <c:pt idx="20">
                  <c:v>5 </c:v>
                </c:pt>
                <c:pt idx="21">
                  <c:v>6 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圖表!$E$3:$E$689</c:f>
              <c:numCache>
                <c:formatCode>#,##0_ </c:formatCode>
                <c:ptCount val="687"/>
                <c:pt idx="0">
                  <c:v>111</c:v>
                </c:pt>
                <c:pt idx="1">
                  <c:v>125</c:v>
                </c:pt>
                <c:pt idx="2">
                  <c:v>181</c:v>
                </c:pt>
                <c:pt idx="3">
                  <c:v>159</c:v>
                </c:pt>
                <c:pt idx="4">
                  <c:v>185</c:v>
                </c:pt>
                <c:pt idx="5">
                  <c:v>145</c:v>
                </c:pt>
                <c:pt idx="6">
                  <c:v>132</c:v>
                </c:pt>
                <c:pt idx="7">
                  <c:v>176</c:v>
                </c:pt>
                <c:pt idx="8">
                  <c:v>174</c:v>
                </c:pt>
                <c:pt idx="9">
                  <c:v>158</c:v>
                </c:pt>
                <c:pt idx="10">
                  <c:v>118</c:v>
                </c:pt>
                <c:pt idx="11">
                  <c:v>161</c:v>
                </c:pt>
                <c:pt idx="12">
                  <c:v>148</c:v>
                </c:pt>
                <c:pt idx="13">
                  <c:v>148</c:v>
                </c:pt>
                <c:pt idx="14">
                  <c:v>162</c:v>
                </c:pt>
                <c:pt idx="15">
                  <c:v>145</c:v>
                </c:pt>
                <c:pt idx="16">
                  <c:v>158</c:v>
                </c:pt>
                <c:pt idx="17">
                  <c:v>130</c:v>
                </c:pt>
                <c:pt idx="18">
                  <c:v>227</c:v>
                </c:pt>
                <c:pt idx="19">
                  <c:v>134</c:v>
                </c:pt>
                <c:pt idx="20">
                  <c:v>184</c:v>
                </c:pt>
                <c:pt idx="21">
                  <c:v>156</c:v>
                </c:pt>
                <c:pt idx="22">
                  <c:v>154</c:v>
                </c:pt>
                <c:pt idx="23">
                  <c:v>126</c:v>
                </c:pt>
                <c:pt idx="24">
                  <c:v>149</c:v>
                </c:pt>
                <c:pt idx="25">
                  <c:v>174</c:v>
                </c:pt>
                <c:pt idx="26">
                  <c:v>136</c:v>
                </c:pt>
                <c:pt idx="27">
                  <c:v>200</c:v>
                </c:pt>
                <c:pt idx="28">
                  <c:v>159</c:v>
                </c:pt>
                <c:pt idx="29">
                  <c:v>197</c:v>
                </c:pt>
                <c:pt idx="30">
                  <c:v>99</c:v>
                </c:pt>
                <c:pt idx="31">
                  <c:v>111</c:v>
                </c:pt>
                <c:pt idx="32">
                  <c:v>116</c:v>
                </c:pt>
                <c:pt idx="33">
                  <c:v>169</c:v>
                </c:pt>
                <c:pt idx="34">
                  <c:v>154</c:v>
                </c:pt>
                <c:pt idx="35">
                  <c:v>178</c:v>
                </c:pt>
                <c:pt idx="36">
                  <c:v>110</c:v>
                </c:pt>
                <c:pt idx="37">
                  <c:v>138</c:v>
                </c:pt>
                <c:pt idx="38">
                  <c:v>109</c:v>
                </c:pt>
                <c:pt idx="39">
                  <c:v>166</c:v>
                </c:pt>
                <c:pt idx="40">
                  <c:v>135</c:v>
                </c:pt>
                <c:pt idx="41">
                  <c:v>87</c:v>
                </c:pt>
                <c:pt idx="42">
                  <c:v>162</c:v>
                </c:pt>
                <c:pt idx="43">
                  <c:v>111</c:v>
                </c:pt>
                <c:pt idx="44">
                  <c:v>167</c:v>
                </c:pt>
                <c:pt idx="45">
                  <c:v>165</c:v>
                </c:pt>
                <c:pt idx="46">
                  <c:v>157</c:v>
                </c:pt>
                <c:pt idx="47">
                  <c:v>144</c:v>
                </c:pt>
                <c:pt idx="48">
                  <c:v>124</c:v>
                </c:pt>
                <c:pt idx="49">
                  <c:v>123</c:v>
                </c:pt>
                <c:pt idx="50">
                  <c:v>98</c:v>
                </c:pt>
                <c:pt idx="51">
                  <c:v>159</c:v>
                </c:pt>
                <c:pt idx="52">
                  <c:v>117</c:v>
                </c:pt>
                <c:pt idx="53">
                  <c:v>163</c:v>
                </c:pt>
                <c:pt idx="54">
                  <c:v>141</c:v>
                </c:pt>
                <c:pt idx="55">
                  <c:v>149</c:v>
                </c:pt>
                <c:pt idx="56">
                  <c:v>149</c:v>
                </c:pt>
                <c:pt idx="57">
                  <c:v>176</c:v>
                </c:pt>
                <c:pt idx="58">
                  <c:v>199</c:v>
                </c:pt>
                <c:pt idx="59">
                  <c:v>141</c:v>
                </c:pt>
                <c:pt idx="60">
                  <c:v>129</c:v>
                </c:pt>
                <c:pt idx="61">
                  <c:v>156</c:v>
                </c:pt>
                <c:pt idx="62">
                  <c:v>147</c:v>
                </c:pt>
                <c:pt idx="63">
                  <c:v>148</c:v>
                </c:pt>
                <c:pt idx="64">
                  <c:v>153</c:v>
                </c:pt>
                <c:pt idx="65">
                  <c:v>109</c:v>
                </c:pt>
                <c:pt idx="66">
                  <c:v>197</c:v>
                </c:pt>
                <c:pt idx="67">
                  <c:v>163</c:v>
                </c:pt>
                <c:pt idx="68">
                  <c:v>148</c:v>
                </c:pt>
                <c:pt idx="69">
                  <c:v>141</c:v>
                </c:pt>
                <c:pt idx="70">
                  <c:v>128</c:v>
                </c:pt>
                <c:pt idx="71">
                  <c:v>192</c:v>
                </c:pt>
                <c:pt idx="72">
                  <c:v>141</c:v>
                </c:pt>
                <c:pt idx="73">
                  <c:v>121</c:v>
                </c:pt>
                <c:pt idx="74">
                  <c:v>102</c:v>
                </c:pt>
                <c:pt idx="75">
                  <c:v>119</c:v>
                </c:pt>
                <c:pt idx="76">
                  <c:v>95</c:v>
                </c:pt>
                <c:pt idx="77">
                  <c:v>145</c:v>
                </c:pt>
                <c:pt idx="78">
                  <c:v>141</c:v>
                </c:pt>
                <c:pt idx="79">
                  <c:v>135</c:v>
                </c:pt>
                <c:pt idx="80">
                  <c:v>91</c:v>
                </c:pt>
                <c:pt idx="81">
                  <c:v>146</c:v>
                </c:pt>
                <c:pt idx="82">
                  <c:v>188</c:v>
                </c:pt>
                <c:pt idx="83">
                  <c:v>172</c:v>
                </c:pt>
                <c:pt idx="84">
                  <c:v>95</c:v>
                </c:pt>
                <c:pt idx="85">
                  <c:v>95</c:v>
                </c:pt>
                <c:pt idx="86">
                  <c:v>99</c:v>
                </c:pt>
                <c:pt idx="87">
                  <c:v>125</c:v>
                </c:pt>
                <c:pt idx="88">
                  <c:v>187</c:v>
                </c:pt>
                <c:pt idx="89">
                  <c:v>90</c:v>
                </c:pt>
                <c:pt idx="90">
                  <c:v>72</c:v>
                </c:pt>
                <c:pt idx="91">
                  <c:v>136</c:v>
                </c:pt>
                <c:pt idx="92">
                  <c:v>103</c:v>
                </c:pt>
                <c:pt idx="93">
                  <c:v>101</c:v>
                </c:pt>
                <c:pt idx="94">
                  <c:v>124</c:v>
                </c:pt>
                <c:pt idx="95">
                  <c:v>122</c:v>
                </c:pt>
                <c:pt idx="96">
                  <c:v>121</c:v>
                </c:pt>
                <c:pt idx="97">
                  <c:v>136</c:v>
                </c:pt>
                <c:pt idx="98">
                  <c:v>101</c:v>
                </c:pt>
                <c:pt idx="99">
                  <c:v>140</c:v>
                </c:pt>
                <c:pt idx="100">
                  <c:v>113</c:v>
                </c:pt>
                <c:pt idx="101">
                  <c:v>109</c:v>
                </c:pt>
                <c:pt idx="102">
                  <c:v>121</c:v>
                </c:pt>
                <c:pt idx="103">
                  <c:v>186</c:v>
                </c:pt>
                <c:pt idx="104">
                  <c:v>153</c:v>
                </c:pt>
                <c:pt idx="105">
                  <c:v>105</c:v>
                </c:pt>
                <c:pt idx="106">
                  <c:v>114</c:v>
                </c:pt>
                <c:pt idx="107">
                  <c:v>127</c:v>
                </c:pt>
                <c:pt idx="108">
                  <c:v>139</c:v>
                </c:pt>
                <c:pt idx="109">
                  <c:v>98</c:v>
                </c:pt>
                <c:pt idx="110">
                  <c:v>144</c:v>
                </c:pt>
                <c:pt idx="111">
                  <c:v>139</c:v>
                </c:pt>
                <c:pt idx="112">
                  <c:v>160</c:v>
                </c:pt>
                <c:pt idx="113">
                  <c:v>126</c:v>
                </c:pt>
                <c:pt idx="114">
                  <c:v>107</c:v>
                </c:pt>
                <c:pt idx="115">
                  <c:v>122</c:v>
                </c:pt>
                <c:pt idx="116">
                  <c:v>126</c:v>
                </c:pt>
                <c:pt idx="117">
                  <c:v>131</c:v>
                </c:pt>
                <c:pt idx="118">
                  <c:v>142</c:v>
                </c:pt>
                <c:pt idx="119">
                  <c:v>167</c:v>
                </c:pt>
                <c:pt idx="120">
                  <c:v>108</c:v>
                </c:pt>
                <c:pt idx="121">
                  <c:v>104</c:v>
                </c:pt>
                <c:pt idx="122">
                  <c:v>135</c:v>
                </c:pt>
                <c:pt idx="123">
                  <c:v>110</c:v>
                </c:pt>
                <c:pt idx="124">
                  <c:v>116</c:v>
                </c:pt>
                <c:pt idx="125">
                  <c:v>90</c:v>
                </c:pt>
                <c:pt idx="126">
                  <c:v>112</c:v>
                </c:pt>
                <c:pt idx="127">
                  <c:v>133</c:v>
                </c:pt>
                <c:pt idx="128">
                  <c:v>158</c:v>
                </c:pt>
                <c:pt idx="129">
                  <c:v>129</c:v>
                </c:pt>
                <c:pt idx="130">
                  <c:v>156</c:v>
                </c:pt>
                <c:pt idx="131">
                  <c:v>158</c:v>
                </c:pt>
                <c:pt idx="132">
                  <c:v>137</c:v>
                </c:pt>
                <c:pt idx="133">
                  <c:v>146</c:v>
                </c:pt>
                <c:pt idx="134">
                  <c:v>176</c:v>
                </c:pt>
                <c:pt idx="135">
                  <c:v>143</c:v>
                </c:pt>
                <c:pt idx="136">
                  <c:v>155</c:v>
                </c:pt>
                <c:pt idx="137">
                  <c:v>142</c:v>
                </c:pt>
                <c:pt idx="138">
                  <c:v>122</c:v>
                </c:pt>
                <c:pt idx="139">
                  <c:v>156</c:v>
                </c:pt>
                <c:pt idx="140">
                  <c:v>148</c:v>
                </c:pt>
                <c:pt idx="141">
                  <c:v>125</c:v>
                </c:pt>
                <c:pt idx="142">
                  <c:v>130</c:v>
                </c:pt>
                <c:pt idx="143">
                  <c:v>122</c:v>
                </c:pt>
                <c:pt idx="144">
                  <c:v>133</c:v>
                </c:pt>
                <c:pt idx="145">
                  <c:v>145</c:v>
                </c:pt>
                <c:pt idx="146">
                  <c:v>103</c:v>
                </c:pt>
                <c:pt idx="147">
                  <c:v>136</c:v>
                </c:pt>
                <c:pt idx="148">
                  <c:v>140</c:v>
                </c:pt>
                <c:pt idx="149">
                  <c:v>125</c:v>
                </c:pt>
                <c:pt idx="150">
                  <c:v>107</c:v>
                </c:pt>
                <c:pt idx="151">
                  <c:v>116</c:v>
                </c:pt>
                <c:pt idx="152">
                  <c:v>130</c:v>
                </c:pt>
                <c:pt idx="153">
                  <c:v>164</c:v>
                </c:pt>
                <c:pt idx="154">
                  <c:v>113</c:v>
                </c:pt>
                <c:pt idx="155">
                  <c:v>112</c:v>
                </c:pt>
                <c:pt idx="156">
                  <c:v>138</c:v>
                </c:pt>
                <c:pt idx="157">
                  <c:v>124</c:v>
                </c:pt>
                <c:pt idx="158">
                  <c:v>102</c:v>
                </c:pt>
                <c:pt idx="159">
                  <c:v>85</c:v>
                </c:pt>
                <c:pt idx="160">
                  <c:v>109</c:v>
                </c:pt>
                <c:pt idx="161">
                  <c:v>102</c:v>
                </c:pt>
                <c:pt idx="162">
                  <c:v>124</c:v>
                </c:pt>
                <c:pt idx="163">
                  <c:v>127</c:v>
                </c:pt>
                <c:pt idx="164">
                  <c:v>193</c:v>
                </c:pt>
                <c:pt idx="165">
                  <c:v>141</c:v>
                </c:pt>
                <c:pt idx="166">
                  <c:v>144</c:v>
                </c:pt>
                <c:pt idx="167">
                  <c:v>148</c:v>
                </c:pt>
                <c:pt idx="168">
                  <c:v>157</c:v>
                </c:pt>
                <c:pt idx="169">
                  <c:v>135</c:v>
                </c:pt>
                <c:pt idx="170">
                  <c:v>145</c:v>
                </c:pt>
                <c:pt idx="171">
                  <c:v>109</c:v>
                </c:pt>
                <c:pt idx="172">
                  <c:v>138</c:v>
                </c:pt>
                <c:pt idx="173">
                  <c:v>112</c:v>
                </c:pt>
                <c:pt idx="174">
                  <c:v>146</c:v>
                </c:pt>
                <c:pt idx="175">
                  <c:v>113</c:v>
                </c:pt>
                <c:pt idx="176">
                  <c:v>101</c:v>
                </c:pt>
                <c:pt idx="177">
                  <c:v>163</c:v>
                </c:pt>
                <c:pt idx="178">
                  <c:v>128</c:v>
                </c:pt>
                <c:pt idx="179">
                  <c:v>176</c:v>
                </c:pt>
                <c:pt idx="180">
                  <c:v>112</c:v>
                </c:pt>
                <c:pt idx="181">
                  <c:v>102</c:v>
                </c:pt>
                <c:pt idx="182">
                  <c:v>99</c:v>
                </c:pt>
                <c:pt idx="183">
                  <c:v>116</c:v>
                </c:pt>
                <c:pt idx="184">
                  <c:v>122</c:v>
                </c:pt>
                <c:pt idx="185">
                  <c:v>102</c:v>
                </c:pt>
                <c:pt idx="186">
                  <c:v>153</c:v>
                </c:pt>
                <c:pt idx="187">
                  <c:v>164</c:v>
                </c:pt>
                <c:pt idx="188">
                  <c:v>128</c:v>
                </c:pt>
                <c:pt idx="189">
                  <c:v>172</c:v>
                </c:pt>
                <c:pt idx="190">
                  <c:v>126</c:v>
                </c:pt>
                <c:pt idx="191">
                  <c:v>108</c:v>
                </c:pt>
                <c:pt idx="192">
                  <c:v>159</c:v>
                </c:pt>
                <c:pt idx="193">
                  <c:v>141</c:v>
                </c:pt>
                <c:pt idx="194">
                  <c:v>137</c:v>
                </c:pt>
                <c:pt idx="195">
                  <c:v>153</c:v>
                </c:pt>
                <c:pt idx="196">
                  <c:v>133</c:v>
                </c:pt>
                <c:pt idx="197">
                  <c:v>165</c:v>
                </c:pt>
                <c:pt idx="198">
                  <c:v>157</c:v>
                </c:pt>
                <c:pt idx="199">
                  <c:v>123</c:v>
                </c:pt>
                <c:pt idx="200">
                  <c:v>118</c:v>
                </c:pt>
                <c:pt idx="201">
                  <c:v>122</c:v>
                </c:pt>
                <c:pt idx="202">
                  <c:v>146</c:v>
                </c:pt>
                <c:pt idx="203">
                  <c:v>130</c:v>
                </c:pt>
                <c:pt idx="204">
                  <c:v>142</c:v>
                </c:pt>
                <c:pt idx="205">
                  <c:v>144</c:v>
                </c:pt>
                <c:pt idx="206">
                  <c:v>131</c:v>
                </c:pt>
                <c:pt idx="207">
                  <c:v>164</c:v>
                </c:pt>
                <c:pt idx="208">
                  <c:v>120</c:v>
                </c:pt>
                <c:pt idx="209">
                  <c:v>155</c:v>
                </c:pt>
                <c:pt idx="210">
                  <c:v>130</c:v>
                </c:pt>
                <c:pt idx="211">
                  <c:v>120</c:v>
                </c:pt>
                <c:pt idx="212">
                  <c:v>147</c:v>
                </c:pt>
                <c:pt idx="213">
                  <c:v>132</c:v>
                </c:pt>
                <c:pt idx="214">
                  <c:v>133</c:v>
                </c:pt>
                <c:pt idx="215">
                  <c:v>129</c:v>
                </c:pt>
                <c:pt idx="216">
                  <c:v>144</c:v>
                </c:pt>
                <c:pt idx="217">
                  <c:v>147</c:v>
                </c:pt>
                <c:pt idx="218">
                  <c:v>133</c:v>
                </c:pt>
                <c:pt idx="219">
                  <c:v>136</c:v>
                </c:pt>
                <c:pt idx="220">
                  <c:v>119</c:v>
                </c:pt>
                <c:pt idx="221">
                  <c:v>151</c:v>
                </c:pt>
                <c:pt idx="222">
                  <c:v>112</c:v>
                </c:pt>
                <c:pt idx="223">
                  <c:v>138</c:v>
                </c:pt>
                <c:pt idx="224">
                  <c:v>126</c:v>
                </c:pt>
                <c:pt idx="225">
                  <c:v>106</c:v>
                </c:pt>
                <c:pt idx="226">
                  <c:v>105</c:v>
                </c:pt>
                <c:pt idx="227">
                  <c:v>137</c:v>
                </c:pt>
                <c:pt idx="228">
                  <c:v>133</c:v>
                </c:pt>
                <c:pt idx="229">
                  <c:v>126</c:v>
                </c:pt>
                <c:pt idx="230">
                  <c:v>160</c:v>
                </c:pt>
                <c:pt idx="231">
                  <c:v>111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142</c:v>
                </c:pt>
                <c:pt idx="238">
                  <c:v>127</c:v>
                </c:pt>
                <c:pt idx="239">
                  <c:v>101</c:v>
                </c:pt>
                <c:pt idx="240">
                  <c:v>142</c:v>
                </c:pt>
                <c:pt idx="241">
                  <c:v>151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153</c:v>
                </c:pt>
                <c:pt idx="249">
                  <c:v>178</c:v>
                </c:pt>
                <c:pt idx="250">
                  <c:v>127</c:v>
                </c:pt>
                <c:pt idx="251">
                  <c:v>149</c:v>
                </c:pt>
                <c:pt idx="252">
                  <c:v>168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87</c:v>
                </c:pt>
                <c:pt idx="260">
                  <c:v>173</c:v>
                </c:pt>
                <c:pt idx="261">
                  <c:v>146</c:v>
                </c:pt>
                <c:pt idx="262">
                  <c:v>136</c:v>
                </c:pt>
                <c:pt idx="263">
                  <c:v>116</c:v>
                </c:pt>
                <c:pt idx="264">
                  <c:v>106</c:v>
                </c:pt>
                <c:pt idx="265">
                  <c:v>148</c:v>
                </c:pt>
                <c:pt idx="266">
                  <c:v>130</c:v>
                </c:pt>
                <c:pt idx="267">
                  <c:v>136</c:v>
                </c:pt>
                <c:pt idx="268">
                  <c:v>158</c:v>
                </c:pt>
                <c:pt idx="269">
                  <c:v>140</c:v>
                </c:pt>
                <c:pt idx="270">
                  <c:v>148</c:v>
                </c:pt>
                <c:pt idx="271">
                  <c:v>129</c:v>
                </c:pt>
                <c:pt idx="272">
                  <c:v>181</c:v>
                </c:pt>
                <c:pt idx="273">
                  <c:v>152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129</c:v>
                </c:pt>
                <c:pt idx="283">
                  <c:v>122</c:v>
                </c:pt>
                <c:pt idx="284">
                  <c:v>143</c:v>
                </c:pt>
                <c:pt idx="285">
                  <c:v>167</c:v>
                </c:pt>
                <c:pt idx="286">
                  <c:v>143</c:v>
                </c:pt>
                <c:pt idx="287">
                  <c:v>148</c:v>
                </c:pt>
                <c:pt idx="288">
                  <c:v>152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148</c:v>
                </c:pt>
                <c:pt idx="297">
                  <c:v>127</c:v>
                </c:pt>
                <c:pt idx="298">
                  <c:v>162</c:v>
                </c:pt>
                <c:pt idx="299">
                  <c:v>155</c:v>
                </c:pt>
                <c:pt idx="300">
                  <c:v>121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108</c:v>
                </c:pt>
                <c:pt idx="308">
                  <c:v>140</c:v>
                </c:pt>
                <c:pt idx="309">
                  <c:v>103</c:v>
                </c:pt>
                <c:pt idx="310">
                  <c:v>95</c:v>
                </c:pt>
                <c:pt idx="311">
                  <c:v>144</c:v>
                </c:pt>
                <c:pt idx="312">
                  <c:v>123</c:v>
                </c:pt>
                <c:pt idx="313">
                  <c:v>154</c:v>
                </c:pt>
                <c:pt idx="314">
                  <c:v>130</c:v>
                </c:pt>
                <c:pt idx="315">
                  <c:v>146</c:v>
                </c:pt>
                <c:pt idx="316">
                  <c:v>122</c:v>
                </c:pt>
                <c:pt idx="317">
                  <c:v>118</c:v>
                </c:pt>
                <c:pt idx="318">
                  <c:v>114</c:v>
                </c:pt>
                <c:pt idx="319">
                  <c:v>112</c:v>
                </c:pt>
                <c:pt idx="320">
                  <c:v>153</c:v>
                </c:pt>
                <c:pt idx="321">
                  <c:v>144</c:v>
                </c:pt>
                <c:pt idx="322">
                  <c:v>121</c:v>
                </c:pt>
                <c:pt idx="323">
                  <c:v>128</c:v>
                </c:pt>
                <c:pt idx="324">
                  <c:v>148</c:v>
                </c:pt>
                <c:pt idx="325">
                  <c:v>95</c:v>
                </c:pt>
                <c:pt idx="326">
                  <c:v>172</c:v>
                </c:pt>
                <c:pt idx="327">
                  <c:v>173</c:v>
                </c:pt>
                <c:pt idx="328">
                  <c:v>111</c:v>
                </c:pt>
                <c:pt idx="329">
                  <c:v>178</c:v>
                </c:pt>
                <c:pt idx="330">
                  <c:v>102</c:v>
                </c:pt>
                <c:pt idx="331">
                  <c:v>147</c:v>
                </c:pt>
                <c:pt idx="332">
                  <c:v>151</c:v>
                </c:pt>
                <c:pt idx="333">
                  <c:v>174</c:v>
                </c:pt>
                <c:pt idx="334">
                  <c:v>105</c:v>
                </c:pt>
                <c:pt idx="335">
                  <c:v>138</c:v>
                </c:pt>
                <c:pt idx="336">
                  <c:v>124</c:v>
                </c:pt>
                <c:pt idx="337">
                  <c:v>146</c:v>
                </c:pt>
                <c:pt idx="338">
                  <c:v>141</c:v>
                </c:pt>
                <c:pt idx="339">
                  <c:v>148</c:v>
                </c:pt>
                <c:pt idx="340">
                  <c:v>138</c:v>
                </c:pt>
                <c:pt idx="341">
                  <c:v>135</c:v>
                </c:pt>
                <c:pt idx="342">
                  <c:v>113</c:v>
                </c:pt>
                <c:pt idx="343">
                  <c:v>122</c:v>
                </c:pt>
                <c:pt idx="344">
                  <c:v>136</c:v>
                </c:pt>
                <c:pt idx="345">
                  <c:v>115</c:v>
                </c:pt>
                <c:pt idx="346">
                  <c:v>152</c:v>
                </c:pt>
                <c:pt idx="347">
                  <c:v>165</c:v>
                </c:pt>
                <c:pt idx="348">
                  <c:v>145</c:v>
                </c:pt>
                <c:pt idx="349">
                  <c:v>135</c:v>
                </c:pt>
                <c:pt idx="350">
                  <c:v>222</c:v>
                </c:pt>
                <c:pt idx="351">
                  <c:v>154</c:v>
                </c:pt>
                <c:pt idx="352">
                  <c:v>142</c:v>
                </c:pt>
                <c:pt idx="353">
                  <c:v>149</c:v>
                </c:pt>
                <c:pt idx="354">
                  <c:v>149</c:v>
                </c:pt>
                <c:pt idx="355">
                  <c:v>162</c:v>
                </c:pt>
                <c:pt idx="356">
                  <c:v>138</c:v>
                </c:pt>
                <c:pt idx="357">
                  <c:v>121</c:v>
                </c:pt>
                <c:pt idx="358">
                  <c:v>184</c:v>
                </c:pt>
                <c:pt idx="359">
                  <c:v>169</c:v>
                </c:pt>
                <c:pt idx="360">
                  <c:v>124</c:v>
                </c:pt>
                <c:pt idx="361">
                  <c:v>120</c:v>
                </c:pt>
                <c:pt idx="362">
                  <c:v>103</c:v>
                </c:pt>
                <c:pt idx="363">
                  <c:v>120</c:v>
                </c:pt>
                <c:pt idx="364">
                  <c:v>140</c:v>
                </c:pt>
                <c:pt idx="365">
                  <c:v>140</c:v>
                </c:pt>
                <c:pt idx="366">
                  <c:v>124</c:v>
                </c:pt>
                <c:pt idx="367">
                  <c:v>150</c:v>
                </c:pt>
                <c:pt idx="368">
                  <c:v>182</c:v>
                </c:pt>
                <c:pt idx="369">
                  <c:v>137</c:v>
                </c:pt>
                <c:pt idx="370">
                  <c:v>162</c:v>
                </c:pt>
                <c:pt idx="371">
                  <c:v>158</c:v>
                </c:pt>
                <c:pt idx="372">
                  <c:v>133</c:v>
                </c:pt>
                <c:pt idx="373">
                  <c:v>148</c:v>
                </c:pt>
                <c:pt idx="374">
                  <c:v>137</c:v>
                </c:pt>
                <c:pt idx="375">
                  <c:v>142</c:v>
                </c:pt>
                <c:pt idx="376">
                  <c:v>128</c:v>
                </c:pt>
                <c:pt idx="377">
                  <c:v>140</c:v>
                </c:pt>
                <c:pt idx="378">
                  <c:v>117</c:v>
                </c:pt>
                <c:pt idx="379">
                  <c:v>159</c:v>
                </c:pt>
                <c:pt idx="380">
                  <c:v>142</c:v>
                </c:pt>
                <c:pt idx="381">
                  <c:v>109</c:v>
                </c:pt>
                <c:pt idx="382">
                  <c:v>155</c:v>
                </c:pt>
                <c:pt idx="383">
                  <c:v>136</c:v>
                </c:pt>
                <c:pt idx="384">
                  <c:v>125</c:v>
                </c:pt>
                <c:pt idx="385">
                  <c:v>153</c:v>
                </c:pt>
                <c:pt idx="386">
                  <c:v>143</c:v>
                </c:pt>
                <c:pt idx="387">
                  <c:v>169</c:v>
                </c:pt>
                <c:pt idx="388">
                  <c:v>124</c:v>
                </c:pt>
                <c:pt idx="389">
                  <c:v>115</c:v>
                </c:pt>
                <c:pt idx="390">
                  <c:v>160</c:v>
                </c:pt>
                <c:pt idx="391">
                  <c:v>158</c:v>
                </c:pt>
                <c:pt idx="392">
                  <c:v>125</c:v>
                </c:pt>
                <c:pt idx="393">
                  <c:v>152</c:v>
                </c:pt>
                <c:pt idx="394">
                  <c:v>116</c:v>
                </c:pt>
                <c:pt idx="395">
                  <c:v>136</c:v>
                </c:pt>
                <c:pt idx="396">
                  <c:v>146</c:v>
                </c:pt>
                <c:pt idx="397">
                  <c:v>162</c:v>
                </c:pt>
                <c:pt idx="398">
                  <c:v>128</c:v>
                </c:pt>
                <c:pt idx="399">
                  <c:v>188</c:v>
                </c:pt>
                <c:pt idx="400">
                  <c:v>147</c:v>
                </c:pt>
                <c:pt idx="401">
                  <c:v>167</c:v>
                </c:pt>
                <c:pt idx="402">
                  <c:v>129</c:v>
                </c:pt>
                <c:pt idx="403">
                  <c:v>115</c:v>
                </c:pt>
                <c:pt idx="404">
                  <c:v>145</c:v>
                </c:pt>
                <c:pt idx="405">
                  <c:v>132</c:v>
                </c:pt>
                <c:pt idx="406">
                  <c:v>141</c:v>
                </c:pt>
                <c:pt idx="407">
                  <c:v>146</c:v>
                </c:pt>
                <c:pt idx="408">
                  <c:v>154</c:v>
                </c:pt>
                <c:pt idx="409">
                  <c:v>112</c:v>
                </c:pt>
                <c:pt idx="410">
                  <c:v>148</c:v>
                </c:pt>
                <c:pt idx="411">
                  <c:v>125</c:v>
                </c:pt>
                <c:pt idx="412">
                  <c:v>114</c:v>
                </c:pt>
                <c:pt idx="413">
                  <c:v>119</c:v>
                </c:pt>
                <c:pt idx="414">
                  <c:v>133</c:v>
                </c:pt>
                <c:pt idx="415">
                  <c:v>149</c:v>
                </c:pt>
                <c:pt idx="416">
                  <c:v>183</c:v>
                </c:pt>
                <c:pt idx="417">
                  <c:v>81</c:v>
                </c:pt>
                <c:pt idx="418">
                  <c:v>148</c:v>
                </c:pt>
                <c:pt idx="419">
                  <c:v>123</c:v>
                </c:pt>
                <c:pt idx="420">
                  <c:v>127</c:v>
                </c:pt>
                <c:pt idx="421">
                  <c:v>152</c:v>
                </c:pt>
                <c:pt idx="422">
                  <c:v>90</c:v>
                </c:pt>
                <c:pt idx="423">
                  <c:v>94</c:v>
                </c:pt>
                <c:pt idx="424">
                  <c:v>127</c:v>
                </c:pt>
                <c:pt idx="425">
                  <c:v>99</c:v>
                </c:pt>
                <c:pt idx="426">
                  <c:v>109</c:v>
                </c:pt>
                <c:pt idx="427">
                  <c:v>125</c:v>
                </c:pt>
                <c:pt idx="428">
                  <c:v>122</c:v>
                </c:pt>
                <c:pt idx="429">
                  <c:v>144</c:v>
                </c:pt>
                <c:pt idx="430">
                  <c:v>121</c:v>
                </c:pt>
                <c:pt idx="431">
                  <c:v>162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123</c:v>
                </c:pt>
                <c:pt idx="438">
                  <c:v>142</c:v>
                </c:pt>
                <c:pt idx="439">
                  <c:v>110</c:v>
                </c:pt>
                <c:pt idx="440">
                  <c:v>131</c:v>
                </c:pt>
                <c:pt idx="441">
                  <c:v>96</c:v>
                </c:pt>
                <c:pt idx="442">
                  <c:v>104</c:v>
                </c:pt>
                <c:pt idx="443">
                  <c:v>134</c:v>
                </c:pt>
                <c:pt idx="444">
                  <c:v>179</c:v>
                </c:pt>
                <c:pt idx="445">
                  <c:v>148</c:v>
                </c:pt>
                <c:pt idx="446">
                  <c:v>140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137</c:v>
                </c:pt>
                <c:pt idx="458">
                  <c:v>150</c:v>
                </c:pt>
                <c:pt idx="459">
                  <c:v>148</c:v>
                </c:pt>
                <c:pt idx="460">
                  <c:v>179</c:v>
                </c:pt>
                <c:pt idx="461">
                  <c:v>133</c:v>
                </c:pt>
                <c:pt idx="462">
                  <c:v>159</c:v>
                </c:pt>
                <c:pt idx="463">
                  <c:v>134</c:v>
                </c:pt>
                <c:pt idx="464">
                  <c:v>176</c:v>
                </c:pt>
                <c:pt idx="465">
                  <c:v>162</c:v>
                </c:pt>
                <c:pt idx="466">
                  <c:v>127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106</c:v>
                </c:pt>
                <c:pt idx="473">
                  <c:v>112</c:v>
                </c:pt>
                <c:pt idx="474">
                  <c:v>102</c:v>
                </c:pt>
                <c:pt idx="475">
                  <c:v>123</c:v>
                </c:pt>
                <c:pt idx="476">
                  <c:v>113</c:v>
                </c:pt>
                <c:pt idx="477">
                  <c:v>160</c:v>
                </c:pt>
                <c:pt idx="478">
                  <c:v>147</c:v>
                </c:pt>
                <c:pt idx="479">
                  <c:v>126</c:v>
                </c:pt>
                <c:pt idx="480">
                  <c:v>120</c:v>
                </c:pt>
                <c:pt idx="481">
                  <c:v>112</c:v>
                </c:pt>
                <c:pt idx="482">
                  <c:v>158</c:v>
                </c:pt>
                <c:pt idx="483">
                  <c:v>161</c:v>
                </c:pt>
                <c:pt idx="484">
                  <c:v>134</c:v>
                </c:pt>
                <c:pt idx="485">
                  <c:v>158</c:v>
                </c:pt>
                <c:pt idx="486">
                  <c:v>152</c:v>
                </c:pt>
                <c:pt idx="487">
                  <c:v>66</c:v>
                </c:pt>
                <c:pt idx="488">
                  <c:v>93</c:v>
                </c:pt>
                <c:pt idx="489">
                  <c:v>126</c:v>
                </c:pt>
                <c:pt idx="490">
                  <c:v>143</c:v>
                </c:pt>
                <c:pt idx="491">
                  <c:v>131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101</c:v>
                </c:pt>
                <c:pt idx="503">
                  <c:v>122</c:v>
                </c:pt>
                <c:pt idx="504">
                  <c:v>146</c:v>
                </c:pt>
                <c:pt idx="505">
                  <c:v>128</c:v>
                </c:pt>
                <c:pt idx="506">
                  <c:v>129</c:v>
                </c:pt>
                <c:pt idx="507">
                  <c:v>138</c:v>
                </c:pt>
                <c:pt idx="508">
                  <c:v>104</c:v>
                </c:pt>
                <c:pt idx="509">
                  <c:v>133</c:v>
                </c:pt>
                <c:pt idx="510">
                  <c:v>92</c:v>
                </c:pt>
                <c:pt idx="511">
                  <c:v>138</c:v>
                </c:pt>
                <c:pt idx="512">
                  <c:v>84</c:v>
                </c:pt>
                <c:pt idx="513">
                  <c:v>126</c:v>
                </c:pt>
                <c:pt idx="514">
                  <c:v>157</c:v>
                </c:pt>
                <c:pt idx="515">
                  <c:v>122</c:v>
                </c:pt>
                <c:pt idx="516">
                  <c:v>152</c:v>
                </c:pt>
                <c:pt idx="517">
                  <c:v>145</c:v>
                </c:pt>
                <c:pt idx="518">
                  <c:v>123</c:v>
                </c:pt>
                <c:pt idx="519">
                  <c:v>113</c:v>
                </c:pt>
                <c:pt idx="520">
                  <c:v>128</c:v>
                </c:pt>
                <c:pt idx="521">
                  <c:v>98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132</c:v>
                </c:pt>
                <c:pt idx="533">
                  <c:v>138</c:v>
                </c:pt>
                <c:pt idx="534">
                  <c:v>218</c:v>
                </c:pt>
                <c:pt idx="535">
                  <c:v>147</c:v>
                </c:pt>
                <c:pt idx="536">
                  <c:v>138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123</c:v>
                </c:pt>
                <c:pt idx="553">
                  <c:v>124</c:v>
                </c:pt>
                <c:pt idx="554">
                  <c:v>127</c:v>
                </c:pt>
                <c:pt idx="555">
                  <c:v>136</c:v>
                </c:pt>
                <c:pt idx="556">
                  <c:v>145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158</c:v>
                </c:pt>
                <c:pt idx="563">
                  <c:v>168</c:v>
                </c:pt>
                <c:pt idx="564">
                  <c:v>189</c:v>
                </c:pt>
                <c:pt idx="565">
                  <c:v>125</c:v>
                </c:pt>
                <c:pt idx="566">
                  <c:v>146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134</c:v>
                </c:pt>
                <c:pt idx="573">
                  <c:v>145</c:v>
                </c:pt>
                <c:pt idx="574">
                  <c:v>172</c:v>
                </c:pt>
                <c:pt idx="575">
                  <c:v>160</c:v>
                </c:pt>
                <c:pt idx="576">
                  <c:v>131</c:v>
                </c:pt>
                <c:pt idx="577">
                  <c:v>134</c:v>
                </c:pt>
                <c:pt idx="578">
                  <c:v>129</c:v>
                </c:pt>
                <c:pt idx="579">
                  <c:v>125</c:v>
                </c:pt>
                <c:pt idx="580">
                  <c:v>116</c:v>
                </c:pt>
                <c:pt idx="581">
                  <c:v>133</c:v>
                </c:pt>
                <c:pt idx="582">
                  <c:v>114</c:v>
                </c:pt>
                <c:pt idx="583">
                  <c:v>118</c:v>
                </c:pt>
                <c:pt idx="584">
                  <c:v>116</c:v>
                </c:pt>
                <c:pt idx="585">
                  <c:v>134</c:v>
                </c:pt>
                <c:pt idx="586">
                  <c:v>138</c:v>
                </c:pt>
                <c:pt idx="587">
                  <c:v>133</c:v>
                </c:pt>
                <c:pt idx="588">
                  <c:v>155</c:v>
                </c:pt>
                <c:pt idx="589">
                  <c:v>122</c:v>
                </c:pt>
                <c:pt idx="590">
                  <c:v>161</c:v>
                </c:pt>
                <c:pt idx="591">
                  <c:v>129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137</c:v>
                </c:pt>
                <c:pt idx="598">
                  <c:v>125</c:v>
                </c:pt>
                <c:pt idx="599">
                  <c:v>126</c:v>
                </c:pt>
                <c:pt idx="600">
                  <c:v>136</c:v>
                </c:pt>
                <c:pt idx="601">
                  <c:v>143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123</c:v>
                </c:pt>
                <c:pt idx="608">
                  <c:v>162</c:v>
                </c:pt>
                <c:pt idx="609">
                  <c:v>161</c:v>
                </c:pt>
                <c:pt idx="610">
                  <c:v>157</c:v>
                </c:pt>
                <c:pt idx="611">
                  <c:v>133</c:v>
                </c:pt>
                <c:pt idx="612">
                  <c:v>161</c:v>
                </c:pt>
                <c:pt idx="613">
                  <c:v>137</c:v>
                </c:pt>
                <c:pt idx="614">
                  <c:v>143</c:v>
                </c:pt>
                <c:pt idx="615">
                  <c:v>125</c:v>
                </c:pt>
                <c:pt idx="616">
                  <c:v>174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134</c:v>
                </c:pt>
                <c:pt idx="623">
                  <c:v>131</c:v>
                </c:pt>
                <c:pt idx="624">
                  <c:v>158</c:v>
                </c:pt>
                <c:pt idx="625">
                  <c:v>168</c:v>
                </c:pt>
                <c:pt idx="626">
                  <c:v>145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188</c:v>
                </c:pt>
                <c:pt idx="638">
                  <c:v>166</c:v>
                </c:pt>
                <c:pt idx="639">
                  <c:v>143</c:v>
                </c:pt>
                <c:pt idx="640">
                  <c:v>155</c:v>
                </c:pt>
                <c:pt idx="641">
                  <c:v>176</c:v>
                </c:pt>
                <c:pt idx="642">
                  <c:v>130</c:v>
                </c:pt>
                <c:pt idx="643">
                  <c:v>142</c:v>
                </c:pt>
                <c:pt idx="644">
                  <c:v>137</c:v>
                </c:pt>
                <c:pt idx="645">
                  <c:v>132</c:v>
                </c:pt>
                <c:pt idx="646">
                  <c:v>157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149</c:v>
                </c:pt>
                <c:pt idx="653">
                  <c:v>141</c:v>
                </c:pt>
                <c:pt idx="654">
                  <c:v>144</c:v>
                </c:pt>
                <c:pt idx="655">
                  <c:v>191</c:v>
                </c:pt>
                <c:pt idx="656">
                  <c:v>145</c:v>
                </c:pt>
                <c:pt idx="657">
                  <c:v>124</c:v>
                </c:pt>
                <c:pt idx="658">
                  <c:v>154</c:v>
                </c:pt>
                <c:pt idx="659">
                  <c:v>146</c:v>
                </c:pt>
                <c:pt idx="660">
                  <c:v>134</c:v>
                </c:pt>
                <c:pt idx="661">
                  <c:v>126</c:v>
                </c:pt>
                <c:pt idx="662">
                  <c:v>149</c:v>
                </c:pt>
                <c:pt idx="663">
                  <c:v>144</c:v>
                </c:pt>
                <c:pt idx="664">
                  <c:v>169</c:v>
                </c:pt>
                <c:pt idx="665">
                  <c:v>125</c:v>
                </c:pt>
                <c:pt idx="666">
                  <c:v>139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143</c:v>
                </c:pt>
                <c:pt idx="673">
                  <c:v>148</c:v>
                </c:pt>
                <c:pt idx="674">
                  <c:v>144</c:v>
                </c:pt>
                <c:pt idx="675">
                  <c:v>136</c:v>
                </c:pt>
                <c:pt idx="676">
                  <c:v>121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160</c:v>
                </c:pt>
                <c:pt idx="683">
                  <c:v>155</c:v>
                </c:pt>
                <c:pt idx="684">
                  <c:v>142</c:v>
                </c:pt>
                <c:pt idx="685">
                  <c:v>143</c:v>
                </c:pt>
                <c:pt idx="686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9D-4284-A50F-45C9FC2882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0789391"/>
        <c:axId val="681908111"/>
      </c:lineChart>
      <c:catAx>
        <c:axId val="680789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81908111"/>
        <c:crosses val="autoZero"/>
        <c:auto val="1"/>
        <c:lblAlgn val="ctr"/>
        <c:lblOffset val="100"/>
        <c:noMultiLvlLbl val="0"/>
      </c:catAx>
      <c:valAx>
        <c:axId val="6819081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crossAx val="68078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金龍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圖表!$C$3:$C$13</c:f>
              <c:strCache>
                <c:ptCount val="11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1 </c:v>
                </c:pt>
                <c:pt idx="4">
                  <c:v>2 </c:v>
                </c:pt>
                <c:pt idx="5">
                  <c:v>3 </c:v>
                </c:pt>
                <c:pt idx="6">
                  <c:v>4 </c:v>
                </c:pt>
                <c:pt idx="7">
                  <c:v>5 </c:v>
                </c:pt>
                <c:pt idx="8">
                  <c:v>1 </c:v>
                </c:pt>
                <c:pt idx="9">
                  <c:v>2 </c:v>
                </c:pt>
                <c:pt idx="10">
                  <c:v>3 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(圖表!$F$3:$F$5,圖表!$F$11:$F$13,圖表!$F$180:$F$183,圖表!$F$289:$F$291)</c:f>
              <c:numCache>
                <c:formatCode>#,##0_ </c:formatCode>
                <c:ptCount val="13"/>
                <c:pt idx="0">
                  <c:v>96</c:v>
                </c:pt>
                <c:pt idx="1">
                  <c:v>116</c:v>
                </c:pt>
                <c:pt idx="2">
                  <c:v>104</c:v>
                </c:pt>
                <c:pt idx="3">
                  <c:v>102</c:v>
                </c:pt>
                <c:pt idx="4">
                  <c:v>127</c:v>
                </c:pt>
                <c:pt idx="5">
                  <c:v>108</c:v>
                </c:pt>
                <c:pt idx="6">
                  <c:v>111</c:v>
                </c:pt>
                <c:pt idx="7">
                  <c:v>143</c:v>
                </c:pt>
                <c:pt idx="8">
                  <c:v>127</c:v>
                </c:pt>
                <c:pt idx="9">
                  <c:v>102</c:v>
                </c:pt>
                <c:pt idx="10">
                  <c:v>85</c:v>
                </c:pt>
                <c:pt idx="11">
                  <c:v>142</c:v>
                </c:pt>
                <c:pt idx="12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7-407A-87B4-D39133538E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0789391"/>
        <c:axId val="681908111"/>
      </c:lineChart>
      <c:catAx>
        <c:axId val="680789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81908111"/>
        <c:crosses val="autoZero"/>
        <c:auto val="1"/>
        <c:lblAlgn val="ctr"/>
        <c:lblOffset val="100"/>
        <c:noMultiLvlLbl val="0"/>
      </c:catAx>
      <c:valAx>
        <c:axId val="6819081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crossAx val="68078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Kelly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圖表!$C$3:$C$13</c:f>
              <c:strCache>
                <c:ptCount val="11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1 </c:v>
                </c:pt>
                <c:pt idx="4">
                  <c:v>2 </c:v>
                </c:pt>
                <c:pt idx="5">
                  <c:v>3 </c:v>
                </c:pt>
                <c:pt idx="6">
                  <c:v>4 </c:v>
                </c:pt>
                <c:pt idx="7">
                  <c:v>5 </c:v>
                </c:pt>
                <c:pt idx="8">
                  <c:v>1 </c:v>
                </c:pt>
                <c:pt idx="9">
                  <c:v>2 </c:v>
                </c:pt>
                <c:pt idx="10">
                  <c:v>3 </c:v>
                </c:pt>
              </c:strCache>
            </c:strRef>
          </c:tx>
          <c:spPr>
            <a:ln w="317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(圖表!$G$61:$G$75,圖表!$G$98:$G$105,圖表!$G$112:$G$138,圖表!$G$141:$G$145)</c:f>
              <c:numCache>
                <c:formatCode>#,##0_ </c:formatCode>
                <c:ptCount val="55"/>
                <c:pt idx="0">
                  <c:v>116</c:v>
                </c:pt>
                <c:pt idx="1">
                  <c:v>136</c:v>
                </c:pt>
                <c:pt idx="2">
                  <c:v>93</c:v>
                </c:pt>
                <c:pt idx="3">
                  <c:v>106</c:v>
                </c:pt>
                <c:pt idx="4">
                  <c:v>101</c:v>
                </c:pt>
                <c:pt idx="5">
                  <c:v>87</c:v>
                </c:pt>
                <c:pt idx="6">
                  <c:v>106</c:v>
                </c:pt>
                <c:pt idx="7">
                  <c:v>96</c:v>
                </c:pt>
                <c:pt idx="8">
                  <c:v>131</c:v>
                </c:pt>
                <c:pt idx="9">
                  <c:v>101</c:v>
                </c:pt>
                <c:pt idx="10">
                  <c:v>120</c:v>
                </c:pt>
                <c:pt idx="11">
                  <c:v>98</c:v>
                </c:pt>
                <c:pt idx="12">
                  <c:v>103</c:v>
                </c:pt>
                <c:pt idx="13">
                  <c:v>125</c:v>
                </c:pt>
                <c:pt idx="14">
                  <c:v>100</c:v>
                </c:pt>
                <c:pt idx="15">
                  <c:v>116</c:v>
                </c:pt>
                <c:pt idx="16">
                  <c:v>82</c:v>
                </c:pt>
                <c:pt idx="17">
                  <c:v>144</c:v>
                </c:pt>
                <c:pt idx="18">
                  <c:v>109</c:v>
                </c:pt>
                <c:pt idx="19">
                  <c:v>101</c:v>
                </c:pt>
                <c:pt idx="20">
                  <c:v>114</c:v>
                </c:pt>
                <c:pt idx="21">
                  <c:v>116</c:v>
                </c:pt>
                <c:pt idx="22">
                  <c:v>136</c:v>
                </c:pt>
                <c:pt idx="23">
                  <c:v>95</c:v>
                </c:pt>
                <c:pt idx="24">
                  <c:v>82</c:v>
                </c:pt>
                <c:pt idx="25">
                  <c:v>100</c:v>
                </c:pt>
                <c:pt idx="26">
                  <c:v>119</c:v>
                </c:pt>
                <c:pt idx="27">
                  <c:v>98</c:v>
                </c:pt>
                <c:pt idx="28">
                  <c:v>96</c:v>
                </c:pt>
                <c:pt idx="29">
                  <c:v>100</c:v>
                </c:pt>
                <c:pt idx="30">
                  <c:v>160</c:v>
                </c:pt>
                <c:pt idx="31">
                  <c:v>135</c:v>
                </c:pt>
                <c:pt idx="32">
                  <c:v>144</c:v>
                </c:pt>
                <c:pt idx="33">
                  <c:v>111</c:v>
                </c:pt>
                <c:pt idx="34">
                  <c:v>109</c:v>
                </c:pt>
                <c:pt idx="35">
                  <c:v>102</c:v>
                </c:pt>
                <c:pt idx="36">
                  <c:v>123</c:v>
                </c:pt>
                <c:pt idx="37">
                  <c:v>106</c:v>
                </c:pt>
                <c:pt idx="38">
                  <c:v>129</c:v>
                </c:pt>
                <c:pt idx="39">
                  <c:v>104</c:v>
                </c:pt>
                <c:pt idx="40">
                  <c:v>91</c:v>
                </c:pt>
                <c:pt idx="41">
                  <c:v>110</c:v>
                </c:pt>
                <c:pt idx="42">
                  <c:v>85</c:v>
                </c:pt>
                <c:pt idx="43">
                  <c:v>106</c:v>
                </c:pt>
                <c:pt idx="44">
                  <c:v>100</c:v>
                </c:pt>
                <c:pt idx="45">
                  <c:v>120</c:v>
                </c:pt>
                <c:pt idx="46">
                  <c:v>152</c:v>
                </c:pt>
                <c:pt idx="47">
                  <c:v>125</c:v>
                </c:pt>
                <c:pt idx="48">
                  <c:v>106</c:v>
                </c:pt>
                <c:pt idx="49">
                  <c:v>107</c:v>
                </c:pt>
                <c:pt idx="50">
                  <c:v>137</c:v>
                </c:pt>
                <c:pt idx="51">
                  <c:v>143</c:v>
                </c:pt>
                <c:pt idx="52">
                  <c:v>138</c:v>
                </c:pt>
                <c:pt idx="53">
                  <c:v>130</c:v>
                </c:pt>
                <c:pt idx="54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0-453E-8607-63A74CFFF0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0789391"/>
        <c:axId val="681908111"/>
      </c:lineChart>
      <c:catAx>
        <c:axId val="680789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81908111"/>
        <c:crosses val="autoZero"/>
        <c:auto val="1"/>
        <c:lblAlgn val="ctr"/>
        <c:lblOffset val="100"/>
        <c:noMultiLvlLbl val="0"/>
      </c:catAx>
      <c:valAx>
        <c:axId val="6819081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crossAx val="68078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圖表!$C$3:$C$13</c:f>
              <c:strCache>
                <c:ptCount val="11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1 </c:v>
                </c:pt>
                <c:pt idx="4">
                  <c:v>2 </c:v>
                </c:pt>
                <c:pt idx="5">
                  <c:v>3 </c:v>
                </c:pt>
                <c:pt idx="6">
                  <c:v>4 </c:v>
                </c:pt>
                <c:pt idx="7">
                  <c:v>5 </c:v>
                </c:pt>
                <c:pt idx="8">
                  <c:v>1 </c:v>
                </c:pt>
                <c:pt idx="9">
                  <c:v>2 </c:v>
                </c:pt>
                <c:pt idx="10">
                  <c:v>3 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圖表!$H$317:$H$689</c:f>
              <c:numCache>
                <c:formatCode>#,##0_ </c:formatCode>
                <c:ptCount val="373"/>
                <c:pt idx="0">
                  <c:v>122</c:v>
                </c:pt>
                <c:pt idx="1">
                  <c:v>118</c:v>
                </c:pt>
                <c:pt idx="2">
                  <c:v>124</c:v>
                </c:pt>
                <c:pt idx="3">
                  <c:v>100</c:v>
                </c:pt>
                <c:pt idx="4">
                  <c:v>122</c:v>
                </c:pt>
                <c:pt idx="5">
                  <c:v>118</c:v>
                </c:pt>
                <c:pt idx="6">
                  <c:v>100</c:v>
                </c:pt>
                <c:pt idx="7">
                  <c:v>97</c:v>
                </c:pt>
                <c:pt idx="8">
                  <c:v>124</c:v>
                </c:pt>
                <c:pt idx="9">
                  <c:v>79</c:v>
                </c:pt>
                <c:pt idx="10">
                  <c:v>109</c:v>
                </c:pt>
                <c:pt idx="11">
                  <c:v>135</c:v>
                </c:pt>
                <c:pt idx="12">
                  <c:v>109</c:v>
                </c:pt>
                <c:pt idx="13">
                  <c:v>127</c:v>
                </c:pt>
                <c:pt idx="14">
                  <c:v>104</c:v>
                </c:pt>
                <c:pt idx="15">
                  <c:v>121</c:v>
                </c:pt>
                <c:pt idx="16">
                  <c:v>102</c:v>
                </c:pt>
                <c:pt idx="17">
                  <c:v>106</c:v>
                </c:pt>
                <c:pt idx="18">
                  <c:v>95</c:v>
                </c:pt>
                <c:pt idx="19">
                  <c:v>99</c:v>
                </c:pt>
                <c:pt idx="20">
                  <c:v>87</c:v>
                </c:pt>
                <c:pt idx="21">
                  <c:v>97</c:v>
                </c:pt>
                <c:pt idx="22">
                  <c:v>113</c:v>
                </c:pt>
                <c:pt idx="23">
                  <c:v>105</c:v>
                </c:pt>
                <c:pt idx="24">
                  <c:v>133</c:v>
                </c:pt>
                <c:pt idx="25">
                  <c:v>137</c:v>
                </c:pt>
                <c:pt idx="26">
                  <c:v>113</c:v>
                </c:pt>
                <c:pt idx="27">
                  <c:v>111</c:v>
                </c:pt>
                <c:pt idx="28">
                  <c:v>96</c:v>
                </c:pt>
                <c:pt idx="29">
                  <c:v>114</c:v>
                </c:pt>
                <c:pt idx="30">
                  <c:v>112</c:v>
                </c:pt>
                <c:pt idx="31">
                  <c:v>94</c:v>
                </c:pt>
                <c:pt idx="32">
                  <c:v>107</c:v>
                </c:pt>
                <c:pt idx="33">
                  <c:v>136</c:v>
                </c:pt>
                <c:pt idx="34">
                  <c:v>79</c:v>
                </c:pt>
                <c:pt idx="35">
                  <c:v>104</c:v>
                </c:pt>
                <c:pt idx="36">
                  <c:v>169</c:v>
                </c:pt>
                <c:pt idx="37">
                  <c:v>87</c:v>
                </c:pt>
                <c:pt idx="38">
                  <c:v>134</c:v>
                </c:pt>
                <c:pt idx="39">
                  <c:v>146</c:v>
                </c:pt>
                <c:pt idx="40">
                  <c:v>84</c:v>
                </c:pt>
                <c:pt idx="41">
                  <c:v>137</c:v>
                </c:pt>
                <c:pt idx="42">
                  <c:v>98</c:v>
                </c:pt>
                <c:pt idx="43">
                  <c:v>79</c:v>
                </c:pt>
                <c:pt idx="44">
                  <c:v>83</c:v>
                </c:pt>
                <c:pt idx="45">
                  <c:v>94</c:v>
                </c:pt>
                <c:pt idx="46">
                  <c:v>100</c:v>
                </c:pt>
                <c:pt idx="47">
                  <c:v>100</c:v>
                </c:pt>
                <c:pt idx="48">
                  <c:v>118</c:v>
                </c:pt>
                <c:pt idx="49">
                  <c:v>91</c:v>
                </c:pt>
                <c:pt idx="50">
                  <c:v>95</c:v>
                </c:pt>
                <c:pt idx="51">
                  <c:v>119</c:v>
                </c:pt>
                <c:pt idx="52">
                  <c:v>110</c:v>
                </c:pt>
                <c:pt idx="53">
                  <c:v>104</c:v>
                </c:pt>
                <c:pt idx="54">
                  <c:v>98</c:v>
                </c:pt>
                <c:pt idx="55">
                  <c:v>107</c:v>
                </c:pt>
                <c:pt idx="56">
                  <c:v>97</c:v>
                </c:pt>
                <c:pt idx="57">
                  <c:v>125</c:v>
                </c:pt>
                <c:pt idx="58">
                  <c:v>102</c:v>
                </c:pt>
                <c:pt idx="59">
                  <c:v>100</c:v>
                </c:pt>
                <c:pt idx="60">
                  <c:v>111</c:v>
                </c:pt>
                <c:pt idx="61">
                  <c:v>122</c:v>
                </c:pt>
                <c:pt idx="62">
                  <c:v>114</c:v>
                </c:pt>
                <c:pt idx="63">
                  <c:v>104</c:v>
                </c:pt>
                <c:pt idx="64">
                  <c:v>118</c:v>
                </c:pt>
                <c:pt idx="65">
                  <c:v>123</c:v>
                </c:pt>
                <c:pt idx="66">
                  <c:v>94</c:v>
                </c:pt>
                <c:pt idx="67">
                  <c:v>129</c:v>
                </c:pt>
                <c:pt idx="68">
                  <c:v>112</c:v>
                </c:pt>
                <c:pt idx="69">
                  <c:v>112</c:v>
                </c:pt>
                <c:pt idx="70">
                  <c:v>117</c:v>
                </c:pt>
                <c:pt idx="71">
                  <c:v>95</c:v>
                </c:pt>
                <c:pt idx="72">
                  <c:v>132</c:v>
                </c:pt>
                <c:pt idx="73">
                  <c:v>86</c:v>
                </c:pt>
                <c:pt idx="74">
                  <c:v>128</c:v>
                </c:pt>
                <c:pt idx="75">
                  <c:v>110</c:v>
                </c:pt>
                <c:pt idx="76">
                  <c:v>107</c:v>
                </c:pt>
                <c:pt idx="77">
                  <c:v>110</c:v>
                </c:pt>
                <c:pt idx="78">
                  <c:v>117</c:v>
                </c:pt>
                <c:pt idx="79">
                  <c:v>126</c:v>
                </c:pt>
                <c:pt idx="80">
                  <c:v>94</c:v>
                </c:pt>
                <c:pt idx="81">
                  <c:v>124</c:v>
                </c:pt>
                <c:pt idx="82">
                  <c:v>107</c:v>
                </c:pt>
                <c:pt idx="83">
                  <c:v>88</c:v>
                </c:pt>
                <c:pt idx="84">
                  <c:v>72</c:v>
                </c:pt>
                <c:pt idx="85">
                  <c:v>80</c:v>
                </c:pt>
                <c:pt idx="86">
                  <c:v>91</c:v>
                </c:pt>
                <c:pt idx="87">
                  <c:v>87</c:v>
                </c:pt>
                <c:pt idx="88">
                  <c:v>128</c:v>
                </c:pt>
                <c:pt idx="89">
                  <c:v>104</c:v>
                </c:pt>
                <c:pt idx="90">
                  <c:v>95</c:v>
                </c:pt>
                <c:pt idx="91">
                  <c:v>120</c:v>
                </c:pt>
                <c:pt idx="92">
                  <c:v>92</c:v>
                </c:pt>
                <c:pt idx="93">
                  <c:v>75</c:v>
                </c:pt>
                <c:pt idx="94">
                  <c:v>60</c:v>
                </c:pt>
                <c:pt idx="95">
                  <c:v>28</c:v>
                </c:pt>
                <c:pt idx="96">
                  <c:v>65</c:v>
                </c:pt>
                <c:pt idx="97">
                  <c:v>42</c:v>
                </c:pt>
                <c:pt idx="98">
                  <c:v>29</c:v>
                </c:pt>
                <c:pt idx="99">
                  <c:v>73</c:v>
                </c:pt>
                <c:pt idx="100">
                  <c:v>78</c:v>
                </c:pt>
                <c:pt idx="101">
                  <c:v>91</c:v>
                </c:pt>
                <c:pt idx="102">
                  <c:v>89</c:v>
                </c:pt>
                <c:pt idx="103">
                  <c:v>40</c:v>
                </c:pt>
                <c:pt idx="104">
                  <c:v>93</c:v>
                </c:pt>
                <c:pt idx="105">
                  <c:v>40</c:v>
                </c:pt>
                <c:pt idx="106">
                  <c:v>65</c:v>
                </c:pt>
                <c:pt idx="107">
                  <c:v>97</c:v>
                </c:pt>
                <c:pt idx="108">
                  <c:v>38</c:v>
                </c:pt>
                <c:pt idx="109">
                  <c:v>75</c:v>
                </c:pt>
                <c:pt idx="110">
                  <c:v>42</c:v>
                </c:pt>
                <c:pt idx="111">
                  <c:v>84</c:v>
                </c:pt>
                <c:pt idx="112">
                  <c:v>68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79</c:v>
                </c:pt>
                <c:pt idx="124">
                  <c:v>114</c:v>
                </c:pt>
                <c:pt idx="125">
                  <c:v>79</c:v>
                </c:pt>
                <c:pt idx="126">
                  <c:v>104</c:v>
                </c:pt>
                <c:pt idx="127">
                  <c:v>95</c:v>
                </c:pt>
                <c:pt idx="128">
                  <c:v>59</c:v>
                </c:pt>
                <c:pt idx="129">
                  <c:v>73</c:v>
                </c:pt>
                <c:pt idx="130">
                  <c:v>102</c:v>
                </c:pt>
                <c:pt idx="131">
                  <c:v>110</c:v>
                </c:pt>
                <c:pt idx="132">
                  <c:v>96</c:v>
                </c:pt>
                <c:pt idx="133">
                  <c:v>107</c:v>
                </c:pt>
                <c:pt idx="134">
                  <c:v>94</c:v>
                </c:pt>
                <c:pt idx="135">
                  <c:v>97</c:v>
                </c:pt>
                <c:pt idx="136">
                  <c:v>95</c:v>
                </c:pt>
                <c:pt idx="137">
                  <c:v>136</c:v>
                </c:pt>
                <c:pt idx="138">
                  <c:v>80</c:v>
                </c:pt>
                <c:pt idx="139">
                  <c:v>99</c:v>
                </c:pt>
                <c:pt idx="140">
                  <c:v>84</c:v>
                </c:pt>
                <c:pt idx="141">
                  <c:v>115</c:v>
                </c:pt>
                <c:pt idx="142">
                  <c:v>103</c:v>
                </c:pt>
                <c:pt idx="143">
                  <c:v>103</c:v>
                </c:pt>
                <c:pt idx="144">
                  <c:v>73</c:v>
                </c:pt>
                <c:pt idx="145">
                  <c:v>89</c:v>
                </c:pt>
                <c:pt idx="146">
                  <c:v>71</c:v>
                </c:pt>
                <c:pt idx="147">
                  <c:v>102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80</c:v>
                </c:pt>
                <c:pt idx="154">
                  <c:v>89</c:v>
                </c:pt>
                <c:pt idx="155">
                  <c:v>68</c:v>
                </c:pt>
                <c:pt idx="156">
                  <c:v>106</c:v>
                </c:pt>
                <c:pt idx="157">
                  <c:v>146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95</c:v>
                </c:pt>
                <c:pt idx="169">
                  <c:v>100</c:v>
                </c:pt>
                <c:pt idx="170">
                  <c:v>85</c:v>
                </c:pt>
                <c:pt idx="171">
                  <c:v>137</c:v>
                </c:pt>
                <c:pt idx="172">
                  <c:v>115</c:v>
                </c:pt>
                <c:pt idx="173">
                  <c:v>59</c:v>
                </c:pt>
                <c:pt idx="174">
                  <c:v>84</c:v>
                </c:pt>
                <c:pt idx="175">
                  <c:v>68</c:v>
                </c:pt>
                <c:pt idx="176">
                  <c:v>87</c:v>
                </c:pt>
                <c:pt idx="177">
                  <c:v>65</c:v>
                </c:pt>
                <c:pt idx="178">
                  <c:v>78</c:v>
                </c:pt>
                <c:pt idx="179">
                  <c:v>102</c:v>
                </c:pt>
                <c:pt idx="180">
                  <c:v>114</c:v>
                </c:pt>
                <c:pt idx="181">
                  <c:v>113</c:v>
                </c:pt>
                <c:pt idx="182">
                  <c:v>112</c:v>
                </c:pt>
                <c:pt idx="183">
                  <c:v>81</c:v>
                </c:pt>
                <c:pt idx="184">
                  <c:v>76</c:v>
                </c:pt>
                <c:pt idx="185">
                  <c:v>100</c:v>
                </c:pt>
                <c:pt idx="186">
                  <c:v>104</c:v>
                </c:pt>
                <c:pt idx="187">
                  <c:v>129</c:v>
                </c:pt>
                <c:pt idx="188">
                  <c:v>137</c:v>
                </c:pt>
                <c:pt idx="189">
                  <c:v>124</c:v>
                </c:pt>
                <c:pt idx="190">
                  <c:v>102</c:v>
                </c:pt>
                <c:pt idx="191">
                  <c:v>96</c:v>
                </c:pt>
                <c:pt idx="192">
                  <c:v>96</c:v>
                </c:pt>
                <c:pt idx="193">
                  <c:v>90</c:v>
                </c:pt>
                <c:pt idx="194">
                  <c:v>103</c:v>
                </c:pt>
                <c:pt idx="195">
                  <c:v>90</c:v>
                </c:pt>
                <c:pt idx="196">
                  <c:v>113</c:v>
                </c:pt>
                <c:pt idx="197">
                  <c:v>146</c:v>
                </c:pt>
                <c:pt idx="198">
                  <c:v>100</c:v>
                </c:pt>
                <c:pt idx="199">
                  <c:v>135</c:v>
                </c:pt>
                <c:pt idx="200">
                  <c:v>105</c:v>
                </c:pt>
                <c:pt idx="201">
                  <c:v>108</c:v>
                </c:pt>
                <c:pt idx="202">
                  <c:v>98</c:v>
                </c:pt>
                <c:pt idx="203">
                  <c:v>135</c:v>
                </c:pt>
                <c:pt idx="204">
                  <c:v>138</c:v>
                </c:pt>
                <c:pt idx="205">
                  <c:v>110</c:v>
                </c:pt>
                <c:pt idx="206">
                  <c:v>100</c:v>
                </c:pt>
                <c:pt idx="207">
                  <c:v>118</c:v>
                </c:pt>
                <c:pt idx="208">
                  <c:v>169</c:v>
                </c:pt>
                <c:pt idx="209">
                  <c:v>110</c:v>
                </c:pt>
                <c:pt idx="210">
                  <c:v>102</c:v>
                </c:pt>
                <c:pt idx="211">
                  <c:v>102</c:v>
                </c:pt>
                <c:pt idx="212">
                  <c:v>125</c:v>
                </c:pt>
                <c:pt idx="213">
                  <c:v>130</c:v>
                </c:pt>
                <c:pt idx="214">
                  <c:v>144</c:v>
                </c:pt>
                <c:pt idx="215">
                  <c:v>127</c:v>
                </c:pt>
                <c:pt idx="216">
                  <c:v>105</c:v>
                </c:pt>
                <c:pt idx="217">
                  <c:v>117</c:v>
                </c:pt>
                <c:pt idx="218">
                  <c:v>125</c:v>
                </c:pt>
                <c:pt idx="219">
                  <c:v>115</c:v>
                </c:pt>
                <c:pt idx="220">
                  <c:v>123</c:v>
                </c:pt>
                <c:pt idx="221">
                  <c:v>109</c:v>
                </c:pt>
                <c:pt idx="222">
                  <c:v>96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101</c:v>
                </c:pt>
                <c:pt idx="229">
                  <c:v>99</c:v>
                </c:pt>
                <c:pt idx="230">
                  <c:v>136</c:v>
                </c:pt>
                <c:pt idx="231">
                  <c:v>84</c:v>
                </c:pt>
                <c:pt idx="232">
                  <c:v>90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120</c:v>
                </c:pt>
                <c:pt idx="244">
                  <c:v>116</c:v>
                </c:pt>
                <c:pt idx="245">
                  <c:v>98</c:v>
                </c:pt>
                <c:pt idx="246">
                  <c:v>113</c:v>
                </c:pt>
                <c:pt idx="247">
                  <c:v>102</c:v>
                </c:pt>
                <c:pt idx="248">
                  <c:v>98</c:v>
                </c:pt>
                <c:pt idx="249">
                  <c:v>105</c:v>
                </c:pt>
                <c:pt idx="250">
                  <c:v>108</c:v>
                </c:pt>
                <c:pt idx="251">
                  <c:v>122</c:v>
                </c:pt>
                <c:pt idx="252">
                  <c:v>168</c:v>
                </c:pt>
                <c:pt idx="253">
                  <c:v>119</c:v>
                </c:pt>
                <c:pt idx="254">
                  <c:v>124</c:v>
                </c:pt>
                <c:pt idx="255">
                  <c:v>113</c:v>
                </c:pt>
                <c:pt idx="256">
                  <c:v>101</c:v>
                </c:pt>
                <c:pt idx="257">
                  <c:v>81</c:v>
                </c:pt>
                <c:pt idx="258">
                  <c:v>124</c:v>
                </c:pt>
                <c:pt idx="259">
                  <c:v>96</c:v>
                </c:pt>
                <c:pt idx="260">
                  <c:v>102</c:v>
                </c:pt>
                <c:pt idx="261">
                  <c:v>132</c:v>
                </c:pt>
                <c:pt idx="262">
                  <c:v>147</c:v>
                </c:pt>
                <c:pt idx="263">
                  <c:v>130</c:v>
                </c:pt>
                <c:pt idx="264">
                  <c:v>81</c:v>
                </c:pt>
                <c:pt idx="265">
                  <c:v>88</c:v>
                </c:pt>
                <c:pt idx="266">
                  <c:v>114</c:v>
                </c:pt>
                <c:pt idx="267">
                  <c:v>90</c:v>
                </c:pt>
                <c:pt idx="268">
                  <c:v>105</c:v>
                </c:pt>
                <c:pt idx="269">
                  <c:v>82</c:v>
                </c:pt>
                <c:pt idx="270">
                  <c:v>87</c:v>
                </c:pt>
                <c:pt idx="271">
                  <c:v>137</c:v>
                </c:pt>
                <c:pt idx="272">
                  <c:v>94</c:v>
                </c:pt>
                <c:pt idx="273">
                  <c:v>96</c:v>
                </c:pt>
                <c:pt idx="274">
                  <c:v>88</c:v>
                </c:pt>
                <c:pt idx="275">
                  <c:v>79</c:v>
                </c:pt>
                <c:pt idx="276">
                  <c:v>90</c:v>
                </c:pt>
                <c:pt idx="277">
                  <c:v>114</c:v>
                </c:pt>
                <c:pt idx="278">
                  <c:v>87</c:v>
                </c:pt>
                <c:pt idx="279">
                  <c:v>76</c:v>
                </c:pt>
                <c:pt idx="280">
                  <c:v>113</c:v>
                </c:pt>
                <c:pt idx="281">
                  <c:v>128</c:v>
                </c:pt>
                <c:pt idx="282">
                  <c:v>100</c:v>
                </c:pt>
                <c:pt idx="283">
                  <c:v>137</c:v>
                </c:pt>
                <c:pt idx="284">
                  <c:v>103</c:v>
                </c:pt>
                <c:pt idx="285">
                  <c:v>152</c:v>
                </c:pt>
                <c:pt idx="286">
                  <c:v>143</c:v>
                </c:pt>
                <c:pt idx="287">
                  <c:v>115</c:v>
                </c:pt>
                <c:pt idx="288">
                  <c:v>98</c:v>
                </c:pt>
                <c:pt idx="289">
                  <c:v>97</c:v>
                </c:pt>
                <c:pt idx="290">
                  <c:v>95</c:v>
                </c:pt>
                <c:pt idx="291">
                  <c:v>135</c:v>
                </c:pt>
                <c:pt idx="292">
                  <c:v>98</c:v>
                </c:pt>
                <c:pt idx="293">
                  <c:v>124</c:v>
                </c:pt>
                <c:pt idx="294">
                  <c:v>163</c:v>
                </c:pt>
                <c:pt idx="295">
                  <c:v>117</c:v>
                </c:pt>
                <c:pt idx="296">
                  <c:v>135</c:v>
                </c:pt>
                <c:pt idx="297">
                  <c:v>113</c:v>
                </c:pt>
                <c:pt idx="298">
                  <c:v>125</c:v>
                </c:pt>
                <c:pt idx="299">
                  <c:v>93</c:v>
                </c:pt>
                <c:pt idx="300">
                  <c:v>86</c:v>
                </c:pt>
                <c:pt idx="301">
                  <c:v>98</c:v>
                </c:pt>
                <c:pt idx="302">
                  <c:v>142</c:v>
                </c:pt>
                <c:pt idx="303">
                  <c:v>88</c:v>
                </c:pt>
                <c:pt idx="304">
                  <c:v>112</c:v>
                </c:pt>
                <c:pt idx="305">
                  <c:v>97</c:v>
                </c:pt>
                <c:pt idx="306">
                  <c:v>115</c:v>
                </c:pt>
                <c:pt idx="307">
                  <c:v>114</c:v>
                </c:pt>
                <c:pt idx="308">
                  <c:v>118</c:v>
                </c:pt>
                <c:pt idx="309">
                  <c:v>115</c:v>
                </c:pt>
                <c:pt idx="310">
                  <c:v>97</c:v>
                </c:pt>
                <c:pt idx="311">
                  <c:v>121</c:v>
                </c:pt>
                <c:pt idx="312">
                  <c:v>160</c:v>
                </c:pt>
                <c:pt idx="313">
                  <c:v>100</c:v>
                </c:pt>
                <c:pt idx="314">
                  <c:v>123</c:v>
                </c:pt>
                <c:pt idx="315">
                  <c:v>109</c:v>
                </c:pt>
                <c:pt idx="316">
                  <c:v>110</c:v>
                </c:pt>
                <c:pt idx="317">
                  <c:v>131</c:v>
                </c:pt>
                <c:pt idx="318">
                  <c:v>87</c:v>
                </c:pt>
                <c:pt idx="319">
                  <c:v>76</c:v>
                </c:pt>
                <c:pt idx="320">
                  <c:v>107</c:v>
                </c:pt>
                <c:pt idx="321">
                  <c:v>90</c:v>
                </c:pt>
                <c:pt idx="322">
                  <c:v>149</c:v>
                </c:pt>
                <c:pt idx="323">
                  <c:v>99</c:v>
                </c:pt>
                <c:pt idx="324">
                  <c:v>129</c:v>
                </c:pt>
                <c:pt idx="325">
                  <c:v>80</c:v>
                </c:pt>
                <c:pt idx="326">
                  <c:v>152</c:v>
                </c:pt>
                <c:pt idx="327">
                  <c:v>114</c:v>
                </c:pt>
                <c:pt idx="328">
                  <c:v>112</c:v>
                </c:pt>
                <c:pt idx="329">
                  <c:v>119</c:v>
                </c:pt>
                <c:pt idx="330">
                  <c:v>114</c:v>
                </c:pt>
                <c:pt idx="331">
                  <c:v>103</c:v>
                </c:pt>
                <c:pt idx="332">
                  <c:v>106</c:v>
                </c:pt>
                <c:pt idx="333">
                  <c:v>130</c:v>
                </c:pt>
                <c:pt idx="334">
                  <c:v>128</c:v>
                </c:pt>
                <c:pt idx="335">
                  <c:v>135</c:v>
                </c:pt>
                <c:pt idx="336">
                  <c:v>90</c:v>
                </c:pt>
                <c:pt idx="337">
                  <c:v>96</c:v>
                </c:pt>
                <c:pt idx="338">
                  <c:v>160</c:v>
                </c:pt>
                <c:pt idx="339">
                  <c:v>110</c:v>
                </c:pt>
                <c:pt idx="340">
                  <c:v>137</c:v>
                </c:pt>
                <c:pt idx="341">
                  <c:v>101</c:v>
                </c:pt>
                <c:pt idx="342">
                  <c:v>98</c:v>
                </c:pt>
                <c:pt idx="343">
                  <c:v>112</c:v>
                </c:pt>
                <c:pt idx="344">
                  <c:v>156</c:v>
                </c:pt>
                <c:pt idx="345">
                  <c:v>125</c:v>
                </c:pt>
                <c:pt idx="346">
                  <c:v>118</c:v>
                </c:pt>
                <c:pt idx="347">
                  <c:v>164</c:v>
                </c:pt>
                <c:pt idx="348">
                  <c:v>109</c:v>
                </c:pt>
                <c:pt idx="349">
                  <c:v>137</c:v>
                </c:pt>
                <c:pt idx="350">
                  <c:v>134</c:v>
                </c:pt>
                <c:pt idx="351">
                  <c:v>126</c:v>
                </c:pt>
                <c:pt idx="352">
                  <c:v>115</c:v>
                </c:pt>
                <c:pt idx="353">
                  <c:v>124</c:v>
                </c:pt>
                <c:pt idx="354">
                  <c:v>126</c:v>
                </c:pt>
                <c:pt idx="355">
                  <c:v>112</c:v>
                </c:pt>
                <c:pt idx="356">
                  <c:v>152</c:v>
                </c:pt>
                <c:pt idx="357">
                  <c:v>126</c:v>
                </c:pt>
                <c:pt idx="358">
                  <c:v>142</c:v>
                </c:pt>
                <c:pt idx="359">
                  <c:v>152</c:v>
                </c:pt>
                <c:pt idx="360">
                  <c:v>161</c:v>
                </c:pt>
                <c:pt idx="361">
                  <c:v>118</c:v>
                </c:pt>
                <c:pt idx="362">
                  <c:v>174</c:v>
                </c:pt>
                <c:pt idx="363">
                  <c:v>135</c:v>
                </c:pt>
                <c:pt idx="364">
                  <c:v>111</c:v>
                </c:pt>
                <c:pt idx="365">
                  <c:v>160</c:v>
                </c:pt>
                <c:pt idx="366">
                  <c:v>128</c:v>
                </c:pt>
                <c:pt idx="367">
                  <c:v>133</c:v>
                </c:pt>
                <c:pt idx="368">
                  <c:v>121</c:v>
                </c:pt>
                <c:pt idx="369">
                  <c:v>146</c:v>
                </c:pt>
                <c:pt idx="370">
                  <c:v>124</c:v>
                </c:pt>
                <c:pt idx="371">
                  <c:v>135</c:v>
                </c:pt>
                <c:pt idx="372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1-4243-A019-99AD6AA495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0789391"/>
        <c:axId val="681908111"/>
      </c:lineChart>
      <c:catAx>
        <c:axId val="680789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81908111"/>
        <c:crosses val="autoZero"/>
        <c:auto val="1"/>
        <c:lblAlgn val="ctr"/>
        <c:lblOffset val="100"/>
        <c:noMultiLvlLbl val="0"/>
      </c:catAx>
      <c:valAx>
        <c:axId val="6819081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crossAx val="68078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奕辰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圖表!$C$3:$C$13</c:f>
              <c:strCache>
                <c:ptCount val="11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1 </c:v>
                </c:pt>
                <c:pt idx="4">
                  <c:v>2 </c:v>
                </c:pt>
                <c:pt idx="5">
                  <c:v>3 </c:v>
                </c:pt>
                <c:pt idx="6">
                  <c:v>4 </c:v>
                </c:pt>
                <c:pt idx="7">
                  <c:v>5 </c:v>
                </c:pt>
                <c:pt idx="8">
                  <c:v>1 </c:v>
                </c:pt>
                <c:pt idx="9">
                  <c:v>2 </c:v>
                </c:pt>
                <c:pt idx="10">
                  <c:v>3 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圖表!$I$405:$I$689</c:f>
              <c:numCache>
                <c:formatCode>#,##0_ </c:formatCode>
                <c:ptCount val="285"/>
                <c:pt idx="0">
                  <c:v>104</c:v>
                </c:pt>
                <c:pt idx="1">
                  <c:v>127</c:v>
                </c:pt>
                <c:pt idx="2">
                  <c:v>118</c:v>
                </c:pt>
                <c:pt idx="3">
                  <c:v>90</c:v>
                </c:pt>
                <c:pt idx="4">
                  <c:v>121</c:v>
                </c:pt>
                <c:pt idx="5">
                  <c:v>109</c:v>
                </c:pt>
                <c:pt idx="6">
                  <c:v>73</c:v>
                </c:pt>
                <c:pt idx="7">
                  <c:v>63</c:v>
                </c:pt>
                <c:pt idx="8">
                  <c:v>78</c:v>
                </c:pt>
                <c:pt idx="9">
                  <c:v>89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57</c:v>
                </c:pt>
                <c:pt idx="16">
                  <c:v>72</c:v>
                </c:pt>
                <c:pt idx="17">
                  <c:v>55</c:v>
                </c:pt>
                <c:pt idx="18">
                  <c:v>110</c:v>
                </c:pt>
                <c:pt idx="19">
                  <c:v>117</c:v>
                </c:pt>
                <c:pt idx="20">
                  <c:v>109</c:v>
                </c:pt>
                <c:pt idx="21">
                  <c:v>131</c:v>
                </c:pt>
                <c:pt idx="22">
                  <c:v>128</c:v>
                </c:pt>
                <c:pt idx="23">
                  <c:v>144</c:v>
                </c:pt>
                <c:pt idx="24">
                  <c:v>125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98</c:v>
                </c:pt>
                <c:pt idx="41">
                  <c:v>108</c:v>
                </c:pt>
                <c:pt idx="42">
                  <c:v>109</c:v>
                </c:pt>
                <c:pt idx="43">
                  <c:v>143</c:v>
                </c:pt>
                <c:pt idx="44">
                  <c:v>114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148</c:v>
                </c:pt>
                <c:pt idx="56">
                  <c:v>118</c:v>
                </c:pt>
                <c:pt idx="57">
                  <c:v>105</c:v>
                </c:pt>
                <c:pt idx="58">
                  <c:v>105</c:v>
                </c:pt>
                <c:pt idx="59">
                  <c:v>118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132</c:v>
                </c:pt>
                <c:pt idx="71">
                  <c:v>126</c:v>
                </c:pt>
                <c:pt idx="72">
                  <c:v>120</c:v>
                </c:pt>
                <c:pt idx="73">
                  <c:v>101</c:v>
                </c:pt>
                <c:pt idx="74">
                  <c:v>120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129</c:v>
                </c:pt>
                <c:pt idx="81">
                  <c:v>102</c:v>
                </c:pt>
                <c:pt idx="82">
                  <c:v>95</c:v>
                </c:pt>
                <c:pt idx="83">
                  <c:v>101</c:v>
                </c:pt>
                <c:pt idx="84">
                  <c:v>94</c:v>
                </c:pt>
                <c:pt idx="85">
                  <c:v>181</c:v>
                </c:pt>
                <c:pt idx="86">
                  <c:v>85</c:v>
                </c:pt>
                <c:pt idx="87">
                  <c:v>77</c:v>
                </c:pt>
                <c:pt idx="88">
                  <c:v>73</c:v>
                </c:pt>
                <c:pt idx="89">
                  <c:v>110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103</c:v>
                </c:pt>
                <c:pt idx="101">
                  <c:v>58</c:v>
                </c:pt>
                <c:pt idx="102">
                  <c:v>77</c:v>
                </c:pt>
                <c:pt idx="103">
                  <c:v>76</c:v>
                </c:pt>
                <c:pt idx="104">
                  <c:v>96</c:v>
                </c:pt>
                <c:pt idx="105">
                  <c:v>150</c:v>
                </c:pt>
                <c:pt idx="106">
                  <c:v>107</c:v>
                </c:pt>
                <c:pt idx="107">
                  <c:v>112</c:v>
                </c:pt>
                <c:pt idx="108">
                  <c:v>111</c:v>
                </c:pt>
                <c:pt idx="109">
                  <c:v>135</c:v>
                </c:pt>
                <c:pt idx="110">
                  <c:v>85</c:v>
                </c:pt>
                <c:pt idx="111">
                  <c:v>111</c:v>
                </c:pt>
                <c:pt idx="112">
                  <c:v>88</c:v>
                </c:pt>
                <c:pt idx="113">
                  <c:v>120</c:v>
                </c:pt>
                <c:pt idx="114">
                  <c:v>138</c:v>
                </c:pt>
                <c:pt idx="115">
                  <c:v>117</c:v>
                </c:pt>
                <c:pt idx="116">
                  <c:v>84</c:v>
                </c:pt>
                <c:pt idx="117">
                  <c:v>115</c:v>
                </c:pt>
                <c:pt idx="118">
                  <c:v>114</c:v>
                </c:pt>
                <c:pt idx="119">
                  <c:v>89</c:v>
                </c:pt>
                <c:pt idx="120">
                  <c:v>90</c:v>
                </c:pt>
                <c:pt idx="121">
                  <c:v>77</c:v>
                </c:pt>
                <c:pt idx="122">
                  <c:v>106</c:v>
                </c:pt>
                <c:pt idx="123">
                  <c:v>104</c:v>
                </c:pt>
                <c:pt idx="124">
                  <c:v>55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88</c:v>
                </c:pt>
                <c:pt idx="131">
                  <c:v>115</c:v>
                </c:pt>
                <c:pt idx="132">
                  <c:v>124</c:v>
                </c:pt>
                <c:pt idx="133">
                  <c:v>75</c:v>
                </c:pt>
                <c:pt idx="134">
                  <c:v>85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95</c:v>
                </c:pt>
                <c:pt idx="161">
                  <c:v>98</c:v>
                </c:pt>
                <c:pt idx="162">
                  <c:v>109</c:v>
                </c:pt>
                <c:pt idx="163">
                  <c:v>121</c:v>
                </c:pt>
                <c:pt idx="164">
                  <c:v>107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71</c:v>
                </c:pt>
                <c:pt idx="171">
                  <c:v>109</c:v>
                </c:pt>
                <c:pt idx="172">
                  <c:v>92</c:v>
                </c:pt>
                <c:pt idx="173">
                  <c:v>104</c:v>
                </c:pt>
                <c:pt idx="174">
                  <c:v>78</c:v>
                </c:pt>
                <c:pt idx="175">
                  <c:v>44</c:v>
                </c:pt>
                <c:pt idx="176">
                  <c:v>75</c:v>
                </c:pt>
                <c:pt idx="177">
                  <c:v>85</c:v>
                </c:pt>
                <c:pt idx="178">
                  <c:v>99</c:v>
                </c:pt>
                <c:pt idx="179">
                  <c:v>87</c:v>
                </c:pt>
                <c:pt idx="180">
                  <c:v>112</c:v>
                </c:pt>
                <c:pt idx="181">
                  <c:v>114</c:v>
                </c:pt>
                <c:pt idx="182">
                  <c:v>99</c:v>
                </c:pt>
                <c:pt idx="183">
                  <c:v>89</c:v>
                </c:pt>
                <c:pt idx="184">
                  <c:v>89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117</c:v>
                </c:pt>
                <c:pt idx="201">
                  <c:v>92</c:v>
                </c:pt>
                <c:pt idx="202">
                  <c:v>78</c:v>
                </c:pt>
                <c:pt idx="203">
                  <c:v>144</c:v>
                </c:pt>
                <c:pt idx="204">
                  <c:v>144</c:v>
                </c:pt>
                <c:pt idx="205">
                  <c:v>153</c:v>
                </c:pt>
                <c:pt idx="206">
                  <c:v>138</c:v>
                </c:pt>
                <c:pt idx="207">
                  <c:v>109</c:v>
                </c:pt>
                <c:pt idx="208">
                  <c:v>143</c:v>
                </c:pt>
                <c:pt idx="209">
                  <c:v>137</c:v>
                </c:pt>
                <c:pt idx="210">
                  <c:v>85</c:v>
                </c:pt>
                <c:pt idx="211">
                  <c:v>78</c:v>
                </c:pt>
                <c:pt idx="212">
                  <c:v>146</c:v>
                </c:pt>
                <c:pt idx="213">
                  <c:v>115</c:v>
                </c:pt>
                <c:pt idx="214">
                  <c:v>131</c:v>
                </c:pt>
                <c:pt idx="215">
                  <c:v>128</c:v>
                </c:pt>
                <c:pt idx="216">
                  <c:v>96</c:v>
                </c:pt>
                <c:pt idx="217">
                  <c:v>107</c:v>
                </c:pt>
                <c:pt idx="218">
                  <c:v>112</c:v>
                </c:pt>
                <c:pt idx="219">
                  <c:v>134</c:v>
                </c:pt>
                <c:pt idx="220">
                  <c:v>115</c:v>
                </c:pt>
                <c:pt idx="221">
                  <c:v>81</c:v>
                </c:pt>
                <c:pt idx="222">
                  <c:v>107</c:v>
                </c:pt>
                <c:pt idx="223">
                  <c:v>126</c:v>
                </c:pt>
                <c:pt idx="224">
                  <c:v>114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107</c:v>
                </c:pt>
                <c:pt idx="231">
                  <c:v>78</c:v>
                </c:pt>
                <c:pt idx="232">
                  <c:v>86</c:v>
                </c:pt>
                <c:pt idx="233">
                  <c:v>120</c:v>
                </c:pt>
                <c:pt idx="234">
                  <c:v>94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100</c:v>
                </c:pt>
                <c:pt idx="246">
                  <c:v>123</c:v>
                </c:pt>
                <c:pt idx="247">
                  <c:v>119</c:v>
                </c:pt>
                <c:pt idx="248">
                  <c:v>119</c:v>
                </c:pt>
                <c:pt idx="249">
                  <c:v>128</c:v>
                </c:pt>
                <c:pt idx="250">
                  <c:v>136</c:v>
                </c:pt>
                <c:pt idx="251">
                  <c:v>89</c:v>
                </c:pt>
                <c:pt idx="252">
                  <c:v>120</c:v>
                </c:pt>
                <c:pt idx="253">
                  <c:v>173</c:v>
                </c:pt>
                <c:pt idx="254">
                  <c:v>154</c:v>
                </c:pt>
                <c:pt idx="255">
                  <c:v>96</c:v>
                </c:pt>
                <c:pt idx="256">
                  <c:v>143</c:v>
                </c:pt>
                <c:pt idx="257">
                  <c:v>79</c:v>
                </c:pt>
                <c:pt idx="258">
                  <c:v>119</c:v>
                </c:pt>
                <c:pt idx="259">
                  <c:v>135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105</c:v>
                </c:pt>
                <c:pt idx="266">
                  <c:v>142</c:v>
                </c:pt>
                <c:pt idx="267">
                  <c:v>114</c:v>
                </c:pt>
                <c:pt idx="268">
                  <c:v>143</c:v>
                </c:pt>
                <c:pt idx="269">
                  <c:v>86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84</c:v>
                </c:pt>
                <c:pt idx="276">
                  <c:v>126</c:v>
                </c:pt>
                <c:pt idx="277">
                  <c:v>149</c:v>
                </c:pt>
                <c:pt idx="278">
                  <c:v>93</c:v>
                </c:pt>
                <c:pt idx="279">
                  <c:v>118</c:v>
                </c:pt>
                <c:pt idx="280">
                  <c:v>119</c:v>
                </c:pt>
                <c:pt idx="281">
                  <c:v>105</c:v>
                </c:pt>
                <c:pt idx="282">
                  <c:v>171</c:v>
                </c:pt>
                <c:pt idx="283">
                  <c:v>127</c:v>
                </c:pt>
                <c:pt idx="284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6-4F4E-96F1-6BF564F557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0789391"/>
        <c:axId val="681908111"/>
      </c:lineChart>
      <c:catAx>
        <c:axId val="680789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81908111"/>
        <c:crosses val="autoZero"/>
        <c:auto val="1"/>
        <c:lblAlgn val="ctr"/>
        <c:lblOffset val="100"/>
        <c:noMultiLvlLbl val="0"/>
      </c:catAx>
      <c:valAx>
        <c:axId val="6819081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crossAx val="68078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圖表!$C$3:$C$13</c:f>
              <c:strCache>
                <c:ptCount val="11"/>
                <c:pt idx="0">
                  <c:v>1 </c:v>
                </c:pt>
                <c:pt idx="1">
                  <c:v>2 </c:v>
                </c:pt>
                <c:pt idx="2">
                  <c:v>3 </c:v>
                </c:pt>
                <c:pt idx="3">
                  <c:v>1 </c:v>
                </c:pt>
                <c:pt idx="4">
                  <c:v>2 </c:v>
                </c:pt>
                <c:pt idx="5">
                  <c:v>3 </c:v>
                </c:pt>
                <c:pt idx="6">
                  <c:v>4 </c:v>
                </c:pt>
                <c:pt idx="7">
                  <c:v>5 </c:v>
                </c:pt>
                <c:pt idx="8">
                  <c:v>1 </c:v>
                </c:pt>
                <c:pt idx="9">
                  <c:v>2 </c:v>
                </c:pt>
                <c:pt idx="10">
                  <c:v>3 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圖表!$J$510:$J$514</c:f>
              <c:numCache>
                <c:formatCode>#,##0_ </c:formatCode>
                <c:ptCount val="5"/>
                <c:pt idx="0">
                  <c:v>82</c:v>
                </c:pt>
                <c:pt idx="1">
                  <c:v>114</c:v>
                </c:pt>
                <c:pt idx="2">
                  <c:v>122</c:v>
                </c:pt>
                <c:pt idx="3">
                  <c:v>127</c:v>
                </c:pt>
                <c:pt idx="4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6D-4B61-9E98-5B10427D68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0789391"/>
        <c:axId val="681908111"/>
      </c:lineChart>
      <c:catAx>
        <c:axId val="680789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81908111"/>
        <c:crosses val="autoZero"/>
        <c:auto val="1"/>
        <c:lblAlgn val="ctr"/>
        <c:lblOffset val="100"/>
        <c:noMultiLvlLbl val="0"/>
      </c:catAx>
      <c:valAx>
        <c:axId val="6819081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crossAx val="68078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583127</xdr:colOff>
      <xdr:row>1</xdr:row>
      <xdr:rowOff>111034</xdr:rowOff>
    </xdr:from>
    <xdr:to>
      <xdr:col>45</xdr:col>
      <xdr:colOff>0</xdr:colOff>
      <xdr:row>17</xdr:row>
      <xdr:rowOff>48986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B7A243D-EA4B-4DE5-87C5-1A5EB61D7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583670</xdr:colOff>
      <xdr:row>18</xdr:row>
      <xdr:rowOff>10391</xdr:rowOff>
    </xdr:from>
    <xdr:to>
      <xdr:col>45</xdr:col>
      <xdr:colOff>0</xdr:colOff>
      <xdr:row>31</xdr:row>
      <xdr:rowOff>156260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C7F89E6-7D9C-4235-B6EF-E1D367A7B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594756</xdr:colOff>
      <xdr:row>34</xdr:row>
      <xdr:rowOff>5938</xdr:rowOff>
    </xdr:from>
    <xdr:to>
      <xdr:col>45</xdr:col>
      <xdr:colOff>0</xdr:colOff>
      <xdr:row>47</xdr:row>
      <xdr:rowOff>151806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F3759978-B973-43E9-8D54-7CE39867E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50</xdr:row>
      <xdr:rowOff>0</xdr:rowOff>
    </xdr:from>
    <xdr:to>
      <xdr:col>45</xdr:col>
      <xdr:colOff>0</xdr:colOff>
      <xdr:row>63</xdr:row>
      <xdr:rowOff>145869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B600EA6-C40B-40E7-A25C-E8B504621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-1</xdr:colOff>
      <xdr:row>66</xdr:row>
      <xdr:rowOff>11546</xdr:rowOff>
    </xdr:from>
    <xdr:to>
      <xdr:col>45</xdr:col>
      <xdr:colOff>-1</xdr:colOff>
      <xdr:row>79</xdr:row>
      <xdr:rowOff>157415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7C769C4C-49F8-4626-936E-815FEE1E2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82</xdr:row>
      <xdr:rowOff>0</xdr:rowOff>
    </xdr:from>
    <xdr:to>
      <xdr:col>45</xdr:col>
      <xdr:colOff>0</xdr:colOff>
      <xdr:row>95</xdr:row>
      <xdr:rowOff>145869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4157EE35-A621-4D33-B315-685C3FA14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98</xdr:row>
      <xdr:rowOff>11</xdr:rowOff>
    </xdr:from>
    <xdr:to>
      <xdr:col>45</xdr:col>
      <xdr:colOff>0</xdr:colOff>
      <xdr:row>111</xdr:row>
      <xdr:rowOff>145880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666211E7-D2B4-4ADD-B97B-C0BECCCD2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大塚-陳威中 Weichung" id="{D5B6E404-37A0-43E8-9B5B-D4815A4553CD}" userId="S::weichungchen@oitc.com.tw::341dd053-82f7-4cd9-bc5f-c01f40eac1eb" providerId="AD"/>
  <person displayName="大塚-陳威中" id="{CC3B3995-0D48-432C-9E76-35665453CD27}" userId="S::weichungchen@OITCTW.onmicrosoft.com::341dd053-82f7-4cd9-bc5f-c01f40eac1eb" providerId="AD"/>
</personList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70" dT="2021-09-03T03:25:04.31" personId="{CC3B3995-0D48-432C-9E76-35665453CD27}" id="{D9F76AC9-5449-4CAE-BA00-B646DD3842BB}">
    <text>疫情後首打</text>
  </threadedComment>
  <threadedComment ref="A397" dT="2022-04-12T09:50:15.26" personId="{D5B6E404-37A0-43E8-9B5B-D4815A4553CD}" id="{CA5C4AB6-3382-49A8-A559-1D1AD17FAB37}">
    <text>公球</text>
  </threadedComment>
  <threadedComment ref="A519" dT="2023-10-01T07:27:37.50" personId="{D5B6E404-37A0-43E8-9B5B-D4815A4553CD}" id="{B3BB72DB-FA27-446C-8A2C-77BB7D1C76BC}">
    <text>Nick買新球</text>
  </threadedComment>
  <threadedComment ref="A568" dT="2024-05-20T02:06:55.47" personId="{D5B6E404-37A0-43E8-9B5B-D4815A4553CD}" id="{A6091C3C-4E0E-43AE-BEC6-B606E9E2A5CC}">
    <text>奕辰買新球</text>
  </threadedComment>
  <threadedComment ref="A582" dT="2024-05-20T02:06:55.47" personId="{D5B6E404-37A0-43E8-9B5B-D4815A4553CD}" id="{761CA678-029E-458F-A9EE-04DFB65893FD}">
    <text>Donald買新球：14磅
威中買新球：12磅</text>
  </threadedComment>
  <threadedComment ref="A652" dT="2025-01-12T08:06:36.05" personId="{D5B6E404-37A0-43E8-9B5B-D4815A4553CD}" id="{FEC39EF5-3C00-492E-91E9-79E7B2C5705F}">
    <text>威中買新球：12磅，黃金保齡球</text>
  </threadedComment>
  <threadedComment ref="A869" dT="2026-05-08T07:00:10.67" personId="{D5B6E404-37A0-43E8-9B5B-D4815A4553CD}" id="{94FA33F0-297D-4312-94A2-44356BC8F11B}">
    <text>威中買新球13磅與新鞋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94" dT="2021-09-03T03:25:04.31" personId="{CC3B3995-0D48-432C-9E76-35665453CD27}" id="{4D67D040-0A62-4BFC-99A6-B24FC34DFB02}">
    <text>疫情後首打</text>
  </threadedComment>
  <threadedComment ref="A285" dT="2022-04-12T09:50:15.26" personId="{D5B6E404-37A0-43E8-9B5B-D4815A4553CD}" id="{3A4D648B-EA8E-4F63-957C-0AD2EBFBEF9A}">
    <text>公球</text>
  </threadedComment>
  <threadedComment ref="A375" dT="2023-10-01T07:27:37.50" personId="{D5B6E404-37A0-43E8-9B5B-D4815A4553CD}" id="{1FDA03BD-DABA-4698-8C33-C087B5DE406F}">
    <text>Nick買新球</text>
  </threadedComment>
  <threadedComment ref="A410" dT="2024-05-20T02:07:45.80" personId="{D5B6E404-37A0-43E8-9B5B-D4815A4553CD}" id="{9CC591EE-E38F-4D47-AF99-85DD9DAA6889}">
    <text>弈辰買新球</text>
  </threadedComment>
  <threadedComment ref="A420" dT="2024-05-20T02:06:55.47" personId="{D5B6E404-37A0-43E8-9B5B-D4815A4553CD}" id="{668CA01F-D58F-44C5-ABD2-2EEBADE0B8B7}">
    <text>Donald買新球：14磅
威中買新球：12磅</text>
  </threadedComment>
  <threadedComment ref="A470" dT="2025-01-12T08:06:36.05" personId="{D5B6E404-37A0-43E8-9B5B-D4815A4553CD}" id="{2ED1938C-4B7E-445B-A99E-3F386A5CDDBD}">
    <text>威中買新球：12磅，黃金保齡球</text>
  </threadedComment>
  <threadedComment ref="A625" dT="2026-05-08T07:00:10.67" personId="{D5B6E404-37A0-43E8-9B5B-D4815A4553CD}" id="{5A8647C5-9181-4AC7-9B48-6A53FFB5A7CC}">
    <text>威中買新球13磅與新鞋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3E2B-0037-4B07-950A-6F7CDAD301A1}">
  <dimension ref="A1:Q971"/>
  <sheetViews>
    <sheetView tabSelected="1" workbookViewId="0">
      <pane xSplit="3" ySplit="2" topLeftCell="D942" activePane="bottomRight" state="frozen"/>
      <selection pane="topRight" activeCell="D1" sqref="D1"/>
      <selection pane="bottomLeft" activeCell="A3" sqref="A3"/>
      <selection pane="bottomRight" activeCell="B179" sqref="B179:B185"/>
    </sheetView>
  </sheetViews>
  <sheetFormatPr defaultRowHeight="16.5"/>
  <cols>
    <col min="2" max="2" width="12.875" bestFit="1" customWidth="1"/>
    <col min="3" max="3" width="11.625" customWidth="1"/>
    <col min="6" max="6" width="8.875" customWidth="1"/>
  </cols>
  <sheetData>
    <row r="1" spans="1:14">
      <c r="A1" s="41" t="s">
        <v>11</v>
      </c>
      <c r="B1" s="41" t="s">
        <v>4</v>
      </c>
      <c r="C1" s="41" t="s">
        <v>5</v>
      </c>
      <c r="D1" s="37" t="s">
        <v>0</v>
      </c>
      <c r="E1" s="37"/>
      <c r="F1" s="37"/>
      <c r="G1" s="37"/>
      <c r="H1" s="37"/>
      <c r="I1" s="37"/>
      <c r="J1" s="37"/>
    </row>
    <row r="2" spans="1:14">
      <c r="A2" s="41"/>
      <c r="B2" s="41"/>
      <c r="C2" s="41"/>
      <c r="D2" s="2" t="s">
        <v>1</v>
      </c>
      <c r="E2" s="3" t="s">
        <v>3</v>
      </c>
      <c r="F2" s="4" t="s">
        <v>2</v>
      </c>
      <c r="G2" s="21" t="s">
        <v>17</v>
      </c>
      <c r="H2" s="25" t="s">
        <v>52</v>
      </c>
      <c r="I2" s="28" t="s">
        <v>70</v>
      </c>
      <c r="J2" s="31" t="s">
        <v>91</v>
      </c>
    </row>
    <row r="3" spans="1:14">
      <c r="A3" s="41">
        <v>1</v>
      </c>
      <c r="B3" s="36">
        <v>44069</v>
      </c>
      <c r="C3" s="1">
        <v>1</v>
      </c>
      <c r="D3" s="1">
        <v>135</v>
      </c>
      <c r="E3" s="1">
        <v>111</v>
      </c>
      <c r="F3" s="1">
        <v>96</v>
      </c>
      <c r="G3" s="1" t="s">
        <v>8</v>
      </c>
      <c r="H3" s="1" t="s">
        <v>8</v>
      </c>
      <c r="I3" s="1" t="s">
        <v>8</v>
      </c>
      <c r="J3" s="1"/>
    </row>
    <row r="4" spans="1:14">
      <c r="A4" s="41"/>
      <c r="B4" s="36"/>
      <c r="C4" s="1">
        <v>2</v>
      </c>
      <c r="D4" s="1">
        <v>141</v>
      </c>
      <c r="E4" s="1">
        <v>125</v>
      </c>
      <c r="F4" s="1">
        <v>116</v>
      </c>
      <c r="G4" s="1" t="s">
        <v>8</v>
      </c>
      <c r="H4" s="1" t="s">
        <v>8</v>
      </c>
      <c r="I4" s="1" t="s">
        <v>8</v>
      </c>
      <c r="J4" s="1"/>
    </row>
    <row r="5" spans="1:14">
      <c r="A5" s="41"/>
      <c r="B5" s="36"/>
      <c r="C5" s="1">
        <v>3</v>
      </c>
      <c r="D5" s="1">
        <v>124</v>
      </c>
      <c r="E5" s="1">
        <v>181</v>
      </c>
      <c r="F5" s="1">
        <v>104</v>
      </c>
      <c r="G5" s="1" t="s">
        <v>8</v>
      </c>
      <c r="H5" s="1" t="s">
        <v>8</v>
      </c>
      <c r="I5" s="1" t="s">
        <v>8</v>
      </c>
      <c r="J5" s="1"/>
    </row>
    <row r="6" spans="1:14">
      <c r="A6" s="41"/>
      <c r="B6" s="36"/>
      <c r="C6" s="7" t="s">
        <v>6</v>
      </c>
      <c r="D6" s="8">
        <f>IF(SUM(D3:D5)=0,"-",SUM(D3:D5))</f>
        <v>400</v>
      </c>
      <c r="E6" s="8">
        <f t="shared" ref="E6:F6" si="0">IF(SUM(E3:E5)=0,"-",SUM(E3:E5))</f>
        <v>417</v>
      </c>
      <c r="F6" s="8">
        <f t="shared" si="0"/>
        <v>316</v>
      </c>
      <c r="G6" s="8" t="str">
        <f t="shared" ref="G6" si="1">IF(SUM(G3:G5)=0,"-",SUM(G3:G5))</f>
        <v>-</v>
      </c>
      <c r="H6" s="8" t="str">
        <f t="shared" ref="H6:I6" si="2">IF(SUM(H3:H5)=0,"-",SUM(H3:H5))</f>
        <v>-</v>
      </c>
      <c r="I6" s="8" t="str">
        <f t="shared" si="2"/>
        <v>-</v>
      </c>
      <c r="J6" s="8"/>
    </row>
    <row r="7" spans="1:14">
      <c r="A7" s="41"/>
      <c r="B7" s="36"/>
      <c r="C7" s="9" t="s">
        <v>7</v>
      </c>
      <c r="D7" s="10">
        <f>IF(D6="-","-",D6/MAX($C3:$C5))</f>
        <v>133.33333333333334</v>
      </c>
      <c r="E7" s="10">
        <f t="shared" ref="E7:F7" si="3">IF(E6="-","-",E6/MAX($C3:$C5))</f>
        <v>139</v>
      </c>
      <c r="F7" s="10">
        <f t="shared" si="3"/>
        <v>105.33333333333333</v>
      </c>
      <c r="G7" s="10" t="str">
        <f t="shared" ref="G7" si="4">IF(G6="-","-",G6/MAX($C3:$C5))</f>
        <v>-</v>
      </c>
      <c r="H7" s="10" t="str">
        <f t="shared" ref="H7:I7" si="5">IF(H6="-","-",H6/MAX($C3:$C5))</f>
        <v>-</v>
      </c>
      <c r="I7" s="10" t="str">
        <f t="shared" si="5"/>
        <v>-</v>
      </c>
      <c r="J7" s="10"/>
    </row>
    <row r="8" spans="1:14">
      <c r="A8" s="41">
        <v>2</v>
      </c>
      <c r="B8" s="36">
        <v>44078</v>
      </c>
      <c r="C8" s="1">
        <v>1</v>
      </c>
      <c r="D8" s="1">
        <v>107</v>
      </c>
      <c r="E8" s="1">
        <v>159</v>
      </c>
      <c r="F8" s="1" t="s">
        <v>8</v>
      </c>
      <c r="G8" s="1" t="s">
        <v>8</v>
      </c>
      <c r="H8" s="1" t="s">
        <v>8</v>
      </c>
      <c r="I8" s="1" t="s">
        <v>8</v>
      </c>
      <c r="J8" s="1"/>
      <c r="N8" s="5"/>
    </row>
    <row r="9" spans="1:14">
      <c r="A9" s="41"/>
      <c r="B9" s="36"/>
      <c r="C9" s="1">
        <v>2</v>
      </c>
      <c r="D9" s="1">
        <v>117</v>
      </c>
      <c r="E9" s="1">
        <v>185</v>
      </c>
      <c r="F9" s="1" t="s">
        <v>8</v>
      </c>
      <c r="G9" s="1" t="s">
        <v>8</v>
      </c>
      <c r="H9" s="1" t="s">
        <v>8</v>
      </c>
      <c r="I9" s="1" t="s">
        <v>8</v>
      </c>
      <c r="J9" s="1"/>
    </row>
    <row r="10" spans="1:14">
      <c r="A10" s="41"/>
      <c r="B10" s="36"/>
      <c r="C10" s="1">
        <v>3</v>
      </c>
      <c r="D10" s="1">
        <v>117</v>
      </c>
      <c r="E10" s="1">
        <v>145</v>
      </c>
      <c r="F10" s="1" t="s">
        <v>8</v>
      </c>
      <c r="G10" s="1" t="s">
        <v>8</v>
      </c>
      <c r="H10" s="1" t="s">
        <v>8</v>
      </c>
      <c r="I10" s="1" t="s">
        <v>8</v>
      </c>
      <c r="J10" s="1"/>
    </row>
    <row r="11" spans="1:14">
      <c r="A11" s="41"/>
      <c r="B11" s="36"/>
      <c r="C11" s="1">
        <v>4</v>
      </c>
      <c r="D11" s="1">
        <v>110</v>
      </c>
      <c r="E11" s="1">
        <v>132</v>
      </c>
      <c r="F11" s="1" t="s">
        <v>8</v>
      </c>
      <c r="G11" s="1" t="s">
        <v>8</v>
      </c>
      <c r="H11" s="1" t="s">
        <v>8</v>
      </c>
      <c r="I11" s="1" t="s">
        <v>8</v>
      </c>
      <c r="J11" s="1"/>
    </row>
    <row r="12" spans="1:14">
      <c r="A12" s="41"/>
      <c r="B12" s="36"/>
      <c r="C12" s="1">
        <v>5</v>
      </c>
      <c r="D12" s="1">
        <v>130</v>
      </c>
      <c r="E12" s="1">
        <v>176</v>
      </c>
      <c r="F12" s="1" t="s">
        <v>8</v>
      </c>
      <c r="G12" s="1" t="s">
        <v>8</v>
      </c>
      <c r="H12" s="1" t="s">
        <v>8</v>
      </c>
      <c r="I12" s="1" t="s">
        <v>8</v>
      </c>
      <c r="J12" s="1"/>
    </row>
    <row r="13" spans="1:14">
      <c r="A13" s="41"/>
      <c r="B13" s="36"/>
      <c r="C13" s="7" t="s">
        <v>6</v>
      </c>
      <c r="D13" s="8">
        <f t="shared" ref="D13:E13" si="6">IF(SUM(D8:D12)=0,"-",SUM(D8:D12))</f>
        <v>581</v>
      </c>
      <c r="E13" s="8">
        <f t="shared" si="6"/>
        <v>797</v>
      </c>
      <c r="F13" s="8" t="str">
        <f>IF(SUM(F8:F12)=0,"-",SUM(F8:F12))</f>
        <v>-</v>
      </c>
      <c r="G13" s="8" t="str">
        <f>IF(SUM(G8:G12)=0,"-",SUM(G8:G12))</f>
        <v>-</v>
      </c>
      <c r="H13" s="8" t="str">
        <f>IF(SUM(H8:H12)=0,"-",SUM(H8:H12))</f>
        <v>-</v>
      </c>
      <c r="I13" s="8" t="str">
        <f>IF(SUM(I8:I12)=0,"-",SUM(I8:I12))</f>
        <v>-</v>
      </c>
      <c r="J13" s="8"/>
    </row>
    <row r="14" spans="1:14">
      <c r="A14" s="41"/>
      <c r="B14" s="36"/>
      <c r="C14" s="9" t="s">
        <v>7</v>
      </c>
      <c r="D14" s="10">
        <f t="shared" ref="D14:E14" si="7">IF(D13="-","-",D13/MAX($C8:$C12))</f>
        <v>116.2</v>
      </c>
      <c r="E14" s="10">
        <f t="shared" si="7"/>
        <v>159.4</v>
      </c>
      <c r="F14" s="10" t="str">
        <f>IF(F13="-","-",F13/MAX($C8:$C12))</f>
        <v>-</v>
      </c>
      <c r="G14" s="10" t="str">
        <f>IF(G13="-","-",G13/MAX($C8:$C12))</f>
        <v>-</v>
      </c>
      <c r="H14" s="10" t="str">
        <f>IF(H13="-","-",H13/MAX($C8:$C12))</f>
        <v>-</v>
      </c>
      <c r="I14" s="10" t="str">
        <f>IF(I13="-","-",I13/MAX($C8:$C12))</f>
        <v>-</v>
      </c>
      <c r="J14" s="10"/>
    </row>
    <row r="15" spans="1:14">
      <c r="A15" s="41">
        <v>3</v>
      </c>
      <c r="B15" s="43">
        <v>44084</v>
      </c>
      <c r="C15" s="1">
        <v>1</v>
      </c>
      <c r="D15" s="1">
        <v>142</v>
      </c>
      <c r="E15" s="1">
        <v>174</v>
      </c>
      <c r="F15" s="1">
        <v>102</v>
      </c>
      <c r="G15" s="1" t="s">
        <v>8</v>
      </c>
      <c r="H15" s="1" t="s">
        <v>8</v>
      </c>
      <c r="I15" s="1" t="s">
        <v>8</v>
      </c>
      <c r="J15" s="1"/>
    </row>
    <row r="16" spans="1:14">
      <c r="A16" s="41"/>
      <c r="B16" s="44"/>
      <c r="C16" s="1">
        <v>2</v>
      </c>
      <c r="D16" s="1">
        <v>100</v>
      </c>
      <c r="E16" s="1">
        <v>158</v>
      </c>
      <c r="F16" s="1">
        <v>127</v>
      </c>
      <c r="G16" s="1" t="s">
        <v>8</v>
      </c>
      <c r="H16" s="1" t="s">
        <v>8</v>
      </c>
      <c r="I16" s="1" t="s">
        <v>8</v>
      </c>
      <c r="J16" s="1"/>
    </row>
    <row r="17" spans="1:17">
      <c r="A17" s="41"/>
      <c r="B17" s="44"/>
      <c r="C17" s="1">
        <v>3</v>
      </c>
      <c r="D17" s="1">
        <v>114</v>
      </c>
      <c r="E17" s="1">
        <v>118</v>
      </c>
      <c r="F17" s="1">
        <v>108</v>
      </c>
      <c r="G17" s="1" t="s">
        <v>8</v>
      </c>
      <c r="H17" s="1" t="s">
        <v>8</v>
      </c>
      <c r="I17" s="1" t="s">
        <v>8</v>
      </c>
      <c r="J17" s="1"/>
    </row>
    <row r="18" spans="1:17">
      <c r="A18" s="41"/>
      <c r="B18" s="44"/>
      <c r="C18" s="7" t="s">
        <v>6</v>
      </c>
      <c r="D18" s="8">
        <f>IF(SUM(D15:D17)=0,"-",SUM(D15:D17))</f>
        <v>356</v>
      </c>
      <c r="E18" s="8">
        <f t="shared" ref="E18" si="8">IF(SUM(E15:E17)=0,"-",SUM(E15:E17))</f>
        <v>450</v>
      </c>
      <c r="F18" s="8">
        <f t="shared" ref="F18:G18" si="9">IF(SUM(F15:F17)=0,"-",SUM(F15:F17))</f>
        <v>337</v>
      </c>
      <c r="G18" s="8" t="str">
        <f t="shared" si="9"/>
        <v>-</v>
      </c>
      <c r="H18" s="8" t="str">
        <f t="shared" ref="H18:I18" si="10">IF(SUM(H15:H17)=0,"-",SUM(H15:H17))</f>
        <v>-</v>
      </c>
      <c r="I18" s="8" t="str">
        <f t="shared" si="10"/>
        <v>-</v>
      </c>
      <c r="J18" s="8"/>
    </row>
    <row r="19" spans="1:17">
      <c r="A19" s="41"/>
      <c r="B19" s="45"/>
      <c r="C19" s="9" t="s">
        <v>7</v>
      </c>
      <c r="D19" s="10">
        <f>IF(D18="-","-",D18/MAX($C15:$C17))</f>
        <v>118.66666666666667</v>
      </c>
      <c r="E19" s="10">
        <f t="shared" ref="E19" si="11">IF(E18="-","-",E18/MAX($C15:$C17))</f>
        <v>150</v>
      </c>
      <c r="F19" s="10">
        <f t="shared" ref="F19:G19" si="12">IF(F18="-","-",F18/MAX($C15:$C17))</f>
        <v>112.33333333333333</v>
      </c>
      <c r="G19" s="10" t="str">
        <f t="shared" si="12"/>
        <v>-</v>
      </c>
      <c r="H19" s="10" t="str">
        <f t="shared" ref="H19:I19" si="13">IF(H18="-","-",H18/MAX($C15:$C17))</f>
        <v>-</v>
      </c>
      <c r="I19" s="10" t="str">
        <f t="shared" si="13"/>
        <v>-</v>
      </c>
      <c r="J19" s="10"/>
    </row>
    <row r="20" spans="1:17">
      <c r="A20" s="46">
        <v>4</v>
      </c>
      <c r="B20" s="36">
        <v>44091</v>
      </c>
      <c r="C20" s="1">
        <v>1</v>
      </c>
      <c r="D20" s="1">
        <v>76</v>
      </c>
      <c r="E20" s="1">
        <v>161</v>
      </c>
      <c r="F20" s="1" t="s">
        <v>8</v>
      </c>
      <c r="G20" s="1" t="s">
        <v>8</v>
      </c>
      <c r="H20" s="1" t="s">
        <v>8</v>
      </c>
      <c r="I20" s="1" t="s">
        <v>8</v>
      </c>
      <c r="J20" s="1"/>
      <c r="L20" s="22"/>
      <c r="M20" t="s">
        <v>20</v>
      </c>
    </row>
    <row r="21" spans="1:17">
      <c r="A21" s="47"/>
      <c r="B21" s="36"/>
      <c r="C21" s="1">
        <v>2</v>
      </c>
      <c r="D21" s="1">
        <v>98</v>
      </c>
      <c r="E21" s="1">
        <v>148</v>
      </c>
      <c r="F21" s="1" t="s">
        <v>8</v>
      </c>
      <c r="G21" s="1" t="s">
        <v>8</v>
      </c>
      <c r="H21" s="1" t="s">
        <v>8</v>
      </c>
      <c r="I21" s="1" t="s">
        <v>8</v>
      </c>
      <c r="J21" s="1"/>
    </row>
    <row r="22" spans="1:17">
      <c r="A22" s="47"/>
      <c r="B22" s="36"/>
      <c r="C22" s="1">
        <v>3</v>
      </c>
      <c r="D22" s="1">
        <v>132</v>
      </c>
      <c r="E22" s="1">
        <v>148</v>
      </c>
      <c r="F22" s="1" t="s">
        <v>8</v>
      </c>
      <c r="G22" s="1" t="s">
        <v>8</v>
      </c>
      <c r="H22" s="1" t="s">
        <v>8</v>
      </c>
      <c r="I22" s="1" t="s">
        <v>8</v>
      </c>
      <c r="J22" s="1"/>
    </row>
    <row r="23" spans="1:17">
      <c r="A23" s="47"/>
      <c r="B23" s="36"/>
      <c r="C23" s="1">
        <v>4</v>
      </c>
      <c r="D23" s="1">
        <v>116</v>
      </c>
      <c r="E23" s="1">
        <v>162</v>
      </c>
      <c r="F23" s="1" t="s">
        <v>8</v>
      </c>
      <c r="G23" s="1" t="s">
        <v>8</v>
      </c>
      <c r="H23" s="1" t="s">
        <v>8</v>
      </c>
      <c r="I23" s="1" t="s">
        <v>8</v>
      </c>
      <c r="J23" s="1"/>
    </row>
    <row r="24" spans="1:17">
      <c r="A24" s="47"/>
      <c r="B24" s="36"/>
      <c r="C24" s="1">
        <v>5</v>
      </c>
      <c r="D24" s="1">
        <v>90</v>
      </c>
      <c r="E24" s="1">
        <v>145</v>
      </c>
      <c r="F24" s="1" t="s">
        <v>8</v>
      </c>
      <c r="G24" s="1" t="s">
        <v>8</v>
      </c>
      <c r="H24" s="1" t="s">
        <v>8</v>
      </c>
      <c r="I24" s="1" t="s">
        <v>8</v>
      </c>
      <c r="J24" s="1"/>
    </row>
    <row r="25" spans="1:17">
      <c r="A25" s="47"/>
      <c r="B25" s="36"/>
      <c r="C25" s="7" t="s">
        <v>6</v>
      </c>
      <c r="D25" s="8">
        <f t="shared" ref="D25:I25" si="14">IF(SUM(D20:D24)=0,"-",SUM(D20:D24))</f>
        <v>512</v>
      </c>
      <c r="E25" s="8">
        <f t="shared" si="14"/>
        <v>764</v>
      </c>
      <c r="F25" s="8" t="str">
        <f t="shared" si="14"/>
        <v>-</v>
      </c>
      <c r="G25" s="8" t="str">
        <f t="shared" si="14"/>
        <v>-</v>
      </c>
      <c r="H25" s="8" t="str">
        <f t="shared" si="14"/>
        <v>-</v>
      </c>
      <c r="I25" s="8" t="str">
        <f t="shared" si="14"/>
        <v>-</v>
      </c>
      <c r="J25" s="8"/>
      <c r="N25">
        <v>1011</v>
      </c>
      <c r="O25">
        <v>200</v>
      </c>
      <c r="P25">
        <v>159</v>
      </c>
      <c r="Q25">
        <v>197</v>
      </c>
    </row>
    <row r="26" spans="1:17">
      <c r="A26" s="47"/>
      <c r="B26" s="36"/>
      <c r="C26" s="9" t="s">
        <v>7</v>
      </c>
      <c r="D26" s="10">
        <f t="shared" ref="D26:I26" si="15">IF(D25="-","-",D25/MAX($C20:$C24))</f>
        <v>102.4</v>
      </c>
      <c r="E26" s="10">
        <f t="shared" si="15"/>
        <v>152.80000000000001</v>
      </c>
      <c r="F26" s="10" t="str">
        <f t="shared" si="15"/>
        <v>-</v>
      </c>
      <c r="G26" s="10" t="str">
        <f t="shared" si="15"/>
        <v>-</v>
      </c>
      <c r="H26" s="10" t="str">
        <f t="shared" si="15"/>
        <v>-</v>
      </c>
      <c r="I26" s="10" t="str">
        <f t="shared" si="15"/>
        <v>-</v>
      </c>
      <c r="J26" s="10"/>
    </row>
    <row r="27" spans="1:17">
      <c r="A27" s="41">
        <v>5</v>
      </c>
      <c r="B27" s="36">
        <v>44097</v>
      </c>
      <c r="C27" s="1">
        <v>1</v>
      </c>
      <c r="D27" s="1">
        <v>99</v>
      </c>
      <c r="E27" s="1">
        <v>158</v>
      </c>
      <c r="F27" s="1" t="s">
        <v>8</v>
      </c>
      <c r="G27" s="1" t="s">
        <v>8</v>
      </c>
      <c r="H27" s="1" t="s">
        <v>8</v>
      </c>
      <c r="I27" s="1" t="s">
        <v>8</v>
      </c>
      <c r="J27" s="1"/>
      <c r="N27">
        <v>1007</v>
      </c>
    </row>
    <row r="28" spans="1:17">
      <c r="A28" s="41"/>
      <c r="B28" s="36"/>
      <c r="C28" s="1">
        <v>2</v>
      </c>
      <c r="D28" s="1">
        <v>119</v>
      </c>
      <c r="E28" s="1">
        <v>130</v>
      </c>
      <c r="F28" s="1" t="s">
        <v>8</v>
      </c>
      <c r="G28" s="1" t="s">
        <v>8</v>
      </c>
      <c r="H28" s="1" t="s">
        <v>8</v>
      </c>
      <c r="I28" s="1" t="s">
        <v>8</v>
      </c>
      <c r="J28" s="1"/>
    </row>
    <row r="29" spans="1:17">
      <c r="A29" s="41"/>
      <c r="B29" s="36"/>
      <c r="C29" s="1">
        <v>3</v>
      </c>
      <c r="D29" s="1">
        <v>120</v>
      </c>
      <c r="E29" s="1">
        <v>227</v>
      </c>
      <c r="F29" s="1" t="s">
        <v>8</v>
      </c>
      <c r="G29" s="1" t="s">
        <v>8</v>
      </c>
      <c r="H29" s="1" t="s">
        <v>8</v>
      </c>
      <c r="I29" s="1" t="s">
        <v>8</v>
      </c>
      <c r="J29" s="1"/>
    </row>
    <row r="30" spans="1:17">
      <c r="A30" s="41"/>
      <c r="B30" s="36"/>
      <c r="C30" s="1">
        <v>4</v>
      </c>
      <c r="D30" s="1">
        <v>182</v>
      </c>
      <c r="E30" s="1">
        <v>134</v>
      </c>
      <c r="F30" s="1" t="s">
        <v>8</v>
      </c>
      <c r="G30" s="1" t="s">
        <v>8</v>
      </c>
      <c r="H30" s="1" t="s">
        <v>8</v>
      </c>
      <c r="I30" s="1" t="s">
        <v>8</v>
      </c>
      <c r="J30" s="1"/>
    </row>
    <row r="31" spans="1:17">
      <c r="A31" s="41"/>
      <c r="B31" s="36"/>
      <c r="C31" s="1">
        <v>5</v>
      </c>
      <c r="D31" s="1">
        <v>156</v>
      </c>
      <c r="E31" s="1">
        <v>184</v>
      </c>
      <c r="F31" s="1" t="s">
        <v>8</v>
      </c>
      <c r="G31" s="1" t="s">
        <v>8</v>
      </c>
      <c r="H31" s="1" t="s">
        <v>8</v>
      </c>
      <c r="I31" s="1" t="s">
        <v>8</v>
      </c>
      <c r="J31" s="1"/>
    </row>
    <row r="32" spans="1:17">
      <c r="A32" s="41"/>
      <c r="B32" s="36"/>
      <c r="C32" s="1">
        <v>6</v>
      </c>
      <c r="D32" s="1">
        <v>110</v>
      </c>
      <c r="E32" s="1">
        <v>156</v>
      </c>
      <c r="F32" s="1" t="s">
        <v>8</v>
      </c>
      <c r="G32" s="1" t="s">
        <v>8</v>
      </c>
      <c r="H32" s="1" t="s">
        <v>8</v>
      </c>
      <c r="I32" s="1" t="s">
        <v>8</v>
      </c>
      <c r="J32" s="1"/>
    </row>
    <row r="33" spans="1:10">
      <c r="A33" s="41"/>
      <c r="B33" s="36"/>
      <c r="C33" s="7" t="s">
        <v>6</v>
      </c>
      <c r="D33" s="8">
        <f>IF(SUM(D27:D32)=0,"-",SUM(D27:D32))</f>
        <v>786</v>
      </c>
      <c r="E33" s="8">
        <f t="shared" ref="E33:F33" si="16">IF(SUM(E27:E32)=0,"-",SUM(E27:E32))</f>
        <v>989</v>
      </c>
      <c r="F33" s="8" t="str">
        <f t="shared" si="16"/>
        <v>-</v>
      </c>
      <c r="G33" s="8" t="str">
        <f t="shared" ref="G33" si="17">IF(SUM(G27:G32)=0,"-",SUM(G27:G32))</f>
        <v>-</v>
      </c>
      <c r="H33" s="8" t="str">
        <f t="shared" ref="H33:I33" si="18">IF(SUM(H27:H32)=0,"-",SUM(H27:H32))</f>
        <v>-</v>
      </c>
      <c r="I33" s="8" t="str">
        <f t="shared" si="18"/>
        <v>-</v>
      </c>
      <c r="J33" s="8"/>
    </row>
    <row r="34" spans="1:10">
      <c r="A34" s="41"/>
      <c r="B34" s="36"/>
      <c r="C34" s="9" t="s">
        <v>7</v>
      </c>
      <c r="D34" s="10">
        <f>IF(D33="-","-",D33/MAX($C27:$C32))</f>
        <v>131</v>
      </c>
      <c r="E34" s="10">
        <f t="shared" ref="E34:F34" si="19">IF(E33="-","-",E33/MAX($C27:$C32))</f>
        <v>164.83333333333334</v>
      </c>
      <c r="F34" s="10" t="str">
        <f t="shared" si="19"/>
        <v>-</v>
      </c>
      <c r="G34" s="10" t="str">
        <f t="shared" ref="G34" si="20">IF(G33="-","-",G33/MAX($C27:$C32))</f>
        <v>-</v>
      </c>
      <c r="H34" s="10" t="str">
        <f t="shared" ref="H34:I34" si="21">IF(H33="-","-",H33/MAX($C27:$C32))</f>
        <v>-</v>
      </c>
      <c r="I34" s="10" t="str">
        <f t="shared" si="21"/>
        <v>-</v>
      </c>
      <c r="J34" s="10"/>
    </row>
    <row r="35" spans="1:10">
      <c r="A35" s="48">
        <v>6</v>
      </c>
      <c r="B35" s="36">
        <v>44111</v>
      </c>
      <c r="C35" s="1">
        <v>1</v>
      </c>
      <c r="D35" s="1">
        <v>118</v>
      </c>
      <c r="E35" s="1">
        <v>154</v>
      </c>
      <c r="F35" s="1" t="s">
        <v>8</v>
      </c>
      <c r="G35" s="1" t="s">
        <v>8</v>
      </c>
      <c r="H35" s="1" t="s">
        <v>8</v>
      </c>
      <c r="I35" s="1" t="s">
        <v>8</v>
      </c>
      <c r="J35" s="1"/>
    </row>
    <row r="36" spans="1:10">
      <c r="A36" s="49"/>
      <c r="B36" s="36"/>
      <c r="C36" s="1">
        <v>2</v>
      </c>
      <c r="D36" s="1">
        <v>139</v>
      </c>
      <c r="E36" s="1">
        <v>126</v>
      </c>
      <c r="F36" s="1" t="s">
        <v>8</v>
      </c>
      <c r="G36" s="1" t="s">
        <v>8</v>
      </c>
      <c r="H36" s="1" t="s">
        <v>8</v>
      </c>
      <c r="I36" s="1" t="s">
        <v>8</v>
      </c>
      <c r="J36" s="1"/>
    </row>
    <row r="37" spans="1:10">
      <c r="A37" s="49"/>
      <c r="B37" s="36"/>
      <c r="C37" s="1">
        <v>3</v>
      </c>
      <c r="D37" s="1">
        <v>145</v>
      </c>
      <c r="E37" s="1">
        <v>149</v>
      </c>
      <c r="F37" s="1" t="s">
        <v>8</v>
      </c>
      <c r="G37" s="1" t="s">
        <v>8</v>
      </c>
      <c r="H37" s="1" t="s">
        <v>8</v>
      </c>
      <c r="I37" s="1" t="s">
        <v>8</v>
      </c>
      <c r="J37" s="1"/>
    </row>
    <row r="38" spans="1:10">
      <c r="A38" s="49"/>
      <c r="B38" s="36"/>
      <c r="C38" s="1">
        <v>4</v>
      </c>
      <c r="D38" s="1">
        <v>170</v>
      </c>
      <c r="E38" s="1">
        <v>174</v>
      </c>
      <c r="F38" s="1" t="s">
        <v>8</v>
      </c>
      <c r="G38" s="1" t="s">
        <v>8</v>
      </c>
      <c r="H38" s="1" t="s">
        <v>8</v>
      </c>
      <c r="I38" s="1" t="s">
        <v>8</v>
      </c>
      <c r="J38" s="1"/>
    </row>
    <row r="39" spans="1:10">
      <c r="A39" s="49"/>
      <c r="B39" s="36"/>
      <c r="C39" s="1">
        <v>5</v>
      </c>
      <c r="D39" s="1">
        <v>144</v>
      </c>
      <c r="E39" s="1">
        <v>136</v>
      </c>
      <c r="F39" s="1" t="s">
        <v>8</v>
      </c>
      <c r="G39" s="1" t="s">
        <v>8</v>
      </c>
      <c r="H39" s="1" t="s">
        <v>8</v>
      </c>
      <c r="I39" s="1" t="s">
        <v>8</v>
      </c>
      <c r="J39" s="1"/>
    </row>
    <row r="40" spans="1:10">
      <c r="A40" s="49"/>
      <c r="B40" s="36"/>
      <c r="C40" s="7" t="s">
        <v>6</v>
      </c>
      <c r="D40" s="8">
        <f t="shared" ref="D40:I40" si="22">IF(SUM(D35:D39)=0,"-",SUM(D35:D39))</f>
        <v>716</v>
      </c>
      <c r="E40" s="8">
        <f t="shared" si="22"/>
        <v>739</v>
      </c>
      <c r="F40" s="8" t="str">
        <f t="shared" si="22"/>
        <v>-</v>
      </c>
      <c r="G40" s="8" t="str">
        <f t="shared" si="22"/>
        <v>-</v>
      </c>
      <c r="H40" s="8" t="str">
        <f t="shared" si="22"/>
        <v>-</v>
      </c>
      <c r="I40" s="8" t="str">
        <f t="shared" si="22"/>
        <v>-</v>
      </c>
      <c r="J40" s="8"/>
    </row>
    <row r="41" spans="1:10">
      <c r="A41" s="49"/>
      <c r="B41" s="36"/>
      <c r="C41" s="9" t="s">
        <v>7</v>
      </c>
      <c r="D41" s="10">
        <f t="shared" ref="D41:I41" si="23">IF(D40="-","-",D40/MAX($C35:$C39))</f>
        <v>143.19999999999999</v>
      </c>
      <c r="E41" s="10">
        <f t="shared" si="23"/>
        <v>147.80000000000001</v>
      </c>
      <c r="F41" s="10" t="str">
        <f t="shared" si="23"/>
        <v>-</v>
      </c>
      <c r="G41" s="10" t="str">
        <f t="shared" si="23"/>
        <v>-</v>
      </c>
      <c r="H41" s="10" t="str">
        <f t="shared" si="23"/>
        <v>-</v>
      </c>
      <c r="I41" s="10" t="str">
        <f t="shared" si="23"/>
        <v>-</v>
      </c>
      <c r="J41" s="10"/>
    </row>
    <row r="42" spans="1:10">
      <c r="A42" s="41">
        <v>7</v>
      </c>
      <c r="B42" s="43">
        <v>44115</v>
      </c>
      <c r="C42" s="1">
        <v>1</v>
      </c>
      <c r="D42" s="1" t="s">
        <v>8</v>
      </c>
      <c r="E42" s="1">
        <v>200</v>
      </c>
      <c r="F42" s="1" t="s">
        <v>8</v>
      </c>
      <c r="G42" s="1" t="s">
        <v>8</v>
      </c>
      <c r="H42" s="1" t="s">
        <v>8</v>
      </c>
      <c r="I42" s="1" t="s">
        <v>8</v>
      </c>
      <c r="J42" s="1"/>
    </row>
    <row r="43" spans="1:10">
      <c r="A43" s="41"/>
      <c r="B43" s="44"/>
      <c r="C43" s="1">
        <v>2</v>
      </c>
      <c r="D43" s="1" t="s">
        <v>8</v>
      </c>
      <c r="E43" s="1">
        <v>159</v>
      </c>
      <c r="F43" s="1" t="s">
        <v>8</v>
      </c>
      <c r="G43" s="1" t="s">
        <v>8</v>
      </c>
      <c r="H43" s="1" t="s">
        <v>8</v>
      </c>
      <c r="I43" s="1" t="s">
        <v>8</v>
      </c>
      <c r="J43" s="1"/>
    </row>
    <row r="44" spans="1:10">
      <c r="A44" s="41"/>
      <c r="B44" s="44"/>
      <c r="C44" s="1">
        <v>3</v>
      </c>
      <c r="D44" s="1" t="s">
        <v>8</v>
      </c>
      <c r="E44" s="1">
        <v>197</v>
      </c>
      <c r="F44" s="1" t="s">
        <v>8</v>
      </c>
      <c r="G44" s="1" t="s">
        <v>8</v>
      </c>
      <c r="H44" s="1" t="s">
        <v>8</v>
      </c>
      <c r="I44" s="1" t="s">
        <v>8</v>
      </c>
      <c r="J44" s="1"/>
    </row>
    <row r="45" spans="1:10">
      <c r="A45" s="41"/>
      <c r="B45" s="44"/>
      <c r="C45" s="7" t="s">
        <v>6</v>
      </c>
      <c r="D45" s="8" t="str">
        <f>IF(SUM(D42:D44)=0,"-",SUM(D42:D44))</f>
        <v>-</v>
      </c>
      <c r="E45" s="8">
        <f t="shared" ref="E45:F45" si="24">IF(SUM(E42:E44)=0,"-",SUM(E42:E44))</f>
        <v>556</v>
      </c>
      <c r="F45" s="8" t="str">
        <f t="shared" si="24"/>
        <v>-</v>
      </c>
      <c r="G45" s="8" t="str">
        <f t="shared" ref="G45" si="25">IF(SUM(G42:G44)=0,"-",SUM(G42:G44))</f>
        <v>-</v>
      </c>
      <c r="H45" s="8" t="str">
        <f t="shared" ref="H45:I45" si="26">IF(SUM(H42:H44)=0,"-",SUM(H42:H44))</f>
        <v>-</v>
      </c>
      <c r="I45" s="8" t="str">
        <f t="shared" si="26"/>
        <v>-</v>
      </c>
      <c r="J45" s="8"/>
    </row>
    <row r="46" spans="1:10">
      <c r="A46" s="41"/>
      <c r="B46" s="45"/>
      <c r="C46" s="9" t="s">
        <v>7</v>
      </c>
      <c r="D46" s="10" t="str">
        <f>IF(D45="-","-",D45/MAX($C42:$C44))</f>
        <v>-</v>
      </c>
      <c r="E46" s="10">
        <f t="shared" ref="E46:F46" si="27">IF(E45="-","-",E45/MAX($C42:$C44))</f>
        <v>185.33333333333334</v>
      </c>
      <c r="F46" s="10" t="str">
        <f t="shared" si="27"/>
        <v>-</v>
      </c>
      <c r="G46" s="10" t="str">
        <f t="shared" ref="G46" si="28">IF(G45="-","-",G45/MAX($C42:$C44))</f>
        <v>-</v>
      </c>
      <c r="H46" s="10" t="str">
        <f t="shared" ref="H46:I46" si="29">IF(H45="-","-",H45/MAX($C42:$C44))</f>
        <v>-</v>
      </c>
      <c r="I46" s="10" t="str">
        <f t="shared" si="29"/>
        <v>-</v>
      </c>
      <c r="J46" s="10"/>
    </row>
    <row r="47" spans="1:10">
      <c r="A47" s="41">
        <v>8</v>
      </c>
      <c r="B47" s="36">
        <v>44122</v>
      </c>
      <c r="C47" s="1">
        <v>1</v>
      </c>
      <c r="D47" s="1">
        <v>114</v>
      </c>
      <c r="E47" s="1">
        <v>99</v>
      </c>
      <c r="F47" s="1" t="s">
        <v>8</v>
      </c>
      <c r="G47" s="1" t="s">
        <v>8</v>
      </c>
      <c r="H47" s="1" t="s">
        <v>8</v>
      </c>
      <c r="I47" s="1" t="s">
        <v>8</v>
      </c>
      <c r="J47" s="1"/>
    </row>
    <row r="48" spans="1:10">
      <c r="A48" s="41"/>
      <c r="B48" s="36"/>
      <c r="C48" s="1">
        <v>2</v>
      </c>
      <c r="D48" s="1">
        <v>127</v>
      </c>
      <c r="E48" s="1">
        <v>111</v>
      </c>
      <c r="F48" s="1" t="s">
        <v>8</v>
      </c>
      <c r="G48" s="1" t="s">
        <v>8</v>
      </c>
      <c r="H48" s="1" t="s">
        <v>8</v>
      </c>
      <c r="I48" s="1" t="s">
        <v>8</v>
      </c>
      <c r="J48" s="1"/>
    </row>
    <row r="49" spans="1:10">
      <c r="A49" s="41"/>
      <c r="B49" s="36"/>
      <c r="C49" s="1">
        <v>3</v>
      </c>
      <c r="D49" s="1">
        <v>174</v>
      </c>
      <c r="E49" s="1">
        <v>116</v>
      </c>
      <c r="F49" s="1" t="s">
        <v>8</v>
      </c>
      <c r="G49" s="1" t="s">
        <v>8</v>
      </c>
      <c r="H49" s="1" t="s">
        <v>8</v>
      </c>
      <c r="I49" s="1" t="s">
        <v>8</v>
      </c>
      <c r="J49" s="1"/>
    </row>
    <row r="50" spans="1:10">
      <c r="A50" s="41"/>
      <c r="B50" s="36"/>
      <c r="C50" s="1">
        <v>4</v>
      </c>
      <c r="D50" s="1">
        <v>106</v>
      </c>
      <c r="E50" s="1">
        <v>169</v>
      </c>
      <c r="F50" s="1" t="s">
        <v>8</v>
      </c>
      <c r="G50" s="1" t="s">
        <v>8</v>
      </c>
      <c r="H50" s="1" t="s">
        <v>8</v>
      </c>
      <c r="I50" s="1" t="s">
        <v>8</v>
      </c>
      <c r="J50" s="1"/>
    </row>
    <row r="51" spans="1:10">
      <c r="A51" s="41"/>
      <c r="B51" s="36"/>
      <c r="C51" s="1">
        <v>5</v>
      </c>
      <c r="D51" s="1">
        <v>128</v>
      </c>
      <c r="E51" s="1">
        <v>154</v>
      </c>
      <c r="F51" s="1" t="s">
        <v>8</v>
      </c>
      <c r="G51" s="1" t="s">
        <v>8</v>
      </c>
      <c r="H51" s="1" t="s">
        <v>8</v>
      </c>
      <c r="I51" s="1" t="s">
        <v>8</v>
      </c>
      <c r="J51" s="1"/>
    </row>
    <row r="52" spans="1:10">
      <c r="A52" s="41"/>
      <c r="B52" s="36"/>
      <c r="C52" s="1">
        <v>6</v>
      </c>
      <c r="D52" s="1">
        <v>148</v>
      </c>
      <c r="E52" s="1">
        <v>178</v>
      </c>
      <c r="F52" s="1" t="s">
        <v>8</v>
      </c>
      <c r="G52" s="1" t="s">
        <v>8</v>
      </c>
      <c r="H52" s="1" t="s">
        <v>8</v>
      </c>
      <c r="I52" s="1" t="s">
        <v>8</v>
      </c>
      <c r="J52" s="1"/>
    </row>
    <row r="53" spans="1:10">
      <c r="A53" s="41"/>
      <c r="B53" s="36"/>
      <c r="C53" s="7" t="s">
        <v>6</v>
      </c>
      <c r="D53" s="8">
        <f>IF(SUM(D47:D52)=0,"-",SUM(D47:D52))</f>
        <v>797</v>
      </c>
      <c r="E53" s="8">
        <f t="shared" ref="E53:F53" si="30">IF(SUM(E47:E52)=0,"-",SUM(E47:E52))</f>
        <v>827</v>
      </c>
      <c r="F53" s="8" t="str">
        <f t="shared" si="30"/>
        <v>-</v>
      </c>
      <c r="G53" s="8" t="str">
        <f t="shared" ref="G53" si="31">IF(SUM(G47:G52)=0,"-",SUM(G47:G52))</f>
        <v>-</v>
      </c>
      <c r="H53" s="8" t="str">
        <f t="shared" ref="H53:I53" si="32">IF(SUM(H47:H52)=0,"-",SUM(H47:H52))</f>
        <v>-</v>
      </c>
      <c r="I53" s="8" t="str">
        <f t="shared" si="32"/>
        <v>-</v>
      </c>
      <c r="J53" s="8"/>
    </row>
    <row r="54" spans="1:10">
      <c r="A54" s="41"/>
      <c r="B54" s="36"/>
      <c r="C54" s="9" t="s">
        <v>7</v>
      </c>
      <c r="D54" s="10">
        <f>IF(D53="-","-",D53/MAX($C47:$C52))</f>
        <v>132.83333333333334</v>
      </c>
      <c r="E54" s="10">
        <f t="shared" ref="E54:F54" si="33">IF(E53="-","-",E53/MAX($C47:$C52))</f>
        <v>137.83333333333334</v>
      </c>
      <c r="F54" s="10" t="str">
        <f t="shared" si="33"/>
        <v>-</v>
      </c>
      <c r="G54" s="10" t="str">
        <f t="shared" ref="G54" si="34">IF(G53="-","-",G53/MAX($C47:$C52))</f>
        <v>-</v>
      </c>
      <c r="H54" s="10" t="str">
        <f t="shared" ref="H54:I54" si="35">IF(H53="-","-",H53/MAX($C47:$C52))</f>
        <v>-</v>
      </c>
      <c r="I54" s="10" t="str">
        <f t="shared" si="35"/>
        <v>-</v>
      </c>
      <c r="J54" s="10"/>
    </row>
    <row r="55" spans="1:10">
      <c r="A55" s="41">
        <v>9</v>
      </c>
      <c r="B55" s="36">
        <v>44125</v>
      </c>
      <c r="C55" s="1">
        <v>1</v>
      </c>
      <c r="D55" s="1">
        <v>127</v>
      </c>
      <c r="E55" s="1">
        <v>110</v>
      </c>
      <c r="F55" s="1" t="s">
        <v>8</v>
      </c>
      <c r="G55" s="1" t="s">
        <v>8</v>
      </c>
      <c r="H55" s="1" t="s">
        <v>8</v>
      </c>
      <c r="I55" s="1" t="s">
        <v>8</v>
      </c>
      <c r="J55" s="1"/>
    </row>
    <row r="56" spans="1:10">
      <c r="A56" s="41"/>
      <c r="B56" s="36"/>
      <c r="C56" s="1">
        <v>2</v>
      </c>
      <c r="D56" s="1">
        <v>134</v>
      </c>
      <c r="E56" s="1">
        <v>138</v>
      </c>
      <c r="F56" s="1" t="s">
        <v>8</v>
      </c>
      <c r="G56" s="1" t="s">
        <v>8</v>
      </c>
      <c r="H56" s="1" t="s">
        <v>8</v>
      </c>
      <c r="I56" s="1" t="s">
        <v>8</v>
      </c>
      <c r="J56" s="1"/>
    </row>
    <row r="57" spans="1:10">
      <c r="A57" s="41"/>
      <c r="B57" s="36"/>
      <c r="C57" s="1">
        <v>3</v>
      </c>
      <c r="D57" s="1">
        <v>130</v>
      </c>
      <c r="E57" s="1">
        <v>109</v>
      </c>
      <c r="F57" s="1" t="s">
        <v>8</v>
      </c>
      <c r="G57" s="1" t="s">
        <v>8</v>
      </c>
      <c r="H57" s="1" t="s">
        <v>8</v>
      </c>
      <c r="I57" s="1" t="s">
        <v>8</v>
      </c>
      <c r="J57" s="1"/>
    </row>
    <row r="58" spans="1:10">
      <c r="A58" s="41"/>
      <c r="B58" s="36"/>
      <c r="C58" s="1">
        <v>4</v>
      </c>
      <c r="D58" s="1">
        <v>120</v>
      </c>
      <c r="E58" s="1">
        <v>166</v>
      </c>
      <c r="F58" s="1" t="s">
        <v>8</v>
      </c>
      <c r="G58" s="1" t="s">
        <v>8</v>
      </c>
      <c r="H58" s="1" t="s">
        <v>8</v>
      </c>
      <c r="I58" s="1" t="s">
        <v>8</v>
      </c>
      <c r="J58" s="1"/>
    </row>
    <row r="59" spans="1:10">
      <c r="A59" s="41"/>
      <c r="B59" s="36"/>
      <c r="C59" s="1">
        <v>5</v>
      </c>
      <c r="D59" s="1">
        <v>88</v>
      </c>
      <c r="E59" s="1">
        <v>135</v>
      </c>
      <c r="F59" s="1" t="s">
        <v>8</v>
      </c>
      <c r="G59" s="1" t="s">
        <v>8</v>
      </c>
      <c r="H59" s="1" t="s">
        <v>8</v>
      </c>
      <c r="I59" s="1" t="s">
        <v>8</v>
      </c>
      <c r="J59" s="1"/>
    </row>
    <row r="60" spans="1:10">
      <c r="A60" s="41"/>
      <c r="B60" s="36"/>
      <c r="C60" s="7" t="s">
        <v>6</v>
      </c>
      <c r="D60" s="8">
        <f t="shared" ref="D60:I60" si="36">IF(SUM(D55:D59)=0,"-",SUM(D55:D59))</f>
        <v>599</v>
      </c>
      <c r="E60" s="8">
        <f t="shared" si="36"/>
        <v>658</v>
      </c>
      <c r="F60" s="8" t="str">
        <f t="shared" si="36"/>
        <v>-</v>
      </c>
      <c r="G60" s="8" t="str">
        <f t="shared" si="36"/>
        <v>-</v>
      </c>
      <c r="H60" s="8" t="str">
        <f t="shared" si="36"/>
        <v>-</v>
      </c>
      <c r="I60" s="8" t="str">
        <f t="shared" si="36"/>
        <v>-</v>
      </c>
      <c r="J60" s="8"/>
    </row>
    <row r="61" spans="1:10">
      <c r="A61" s="41"/>
      <c r="B61" s="36"/>
      <c r="C61" s="9" t="s">
        <v>7</v>
      </c>
      <c r="D61" s="10">
        <f t="shared" ref="D61:I61" si="37">IF(D60="-","-",D60/MAX($C55:$C59))</f>
        <v>119.8</v>
      </c>
      <c r="E61" s="10">
        <f t="shared" si="37"/>
        <v>131.6</v>
      </c>
      <c r="F61" s="10" t="str">
        <f t="shared" si="37"/>
        <v>-</v>
      </c>
      <c r="G61" s="10" t="str">
        <f t="shared" si="37"/>
        <v>-</v>
      </c>
      <c r="H61" s="10" t="str">
        <f t="shared" si="37"/>
        <v>-</v>
      </c>
      <c r="I61" s="10" t="str">
        <f t="shared" si="37"/>
        <v>-</v>
      </c>
      <c r="J61" s="10"/>
    </row>
    <row r="62" spans="1:10">
      <c r="A62" s="41">
        <v>10</v>
      </c>
      <c r="B62" s="36">
        <v>44132</v>
      </c>
      <c r="C62" s="1">
        <v>1</v>
      </c>
      <c r="D62" s="1">
        <v>167</v>
      </c>
      <c r="E62" s="1">
        <v>87</v>
      </c>
      <c r="F62" s="1" t="s">
        <v>8</v>
      </c>
      <c r="G62" s="1" t="s">
        <v>8</v>
      </c>
      <c r="H62" s="1" t="s">
        <v>8</v>
      </c>
      <c r="I62" s="1" t="s">
        <v>8</v>
      </c>
      <c r="J62" s="1"/>
    </row>
    <row r="63" spans="1:10">
      <c r="A63" s="41"/>
      <c r="B63" s="36"/>
      <c r="C63" s="1">
        <v>2</v>
      </c>
      <c r="D63" s="1">
        <v>125</v>
      </c>
      <c r="E63" s="1">
        <v>162</v>
      </c>
      <c r="F63" s="1" t="s">
        <v>8</v>
      </c>
      <c r="G63" s="1" t="s">
        <v>8</v>
      </c>
      <c r="H63" s="1" t="s">
        <v>8</v>
      </c>
      <c r="I63" s="1" t="s">
        <v>8</v>
      </c>
      <c r="J63" s="1"/>
    </row>
    <row r="64" spans="1:10">
      <c r="A64" s="41"/>
      <c r="B64" s="36"/>
      <c r="C64" s="1">
        <v>3</v>
      </c>
      <c r="D64" s="1">
        <v>146</v>
      </c>
      <c r="E64" s="1">
        <v>111</v>
      </c>
      <c r="F64" s="1" t="s">
        <v>8</v>
      </c>
      <c r="G64" s="1" t="s">
        <v>8</v>
      </c>
      <c r="H64" s="1" t="s">
        <v>8</v>
      </c>
      <c r="I64" s="1" t="s">
        <v>8</v>
      </c>
      <c r="J64" s="1"/>
    </row>
    <row r="65" spans="1:10">
      <c r="A65" s="41"/>
      <c r="B65" s="36"/>
      <c r="C65" s="1">
        <v>4</v>
      </c>
      <c r="D65" s="1">
        <v>167</v>
      </c>
      <c r="E65" s="1">
        <v>167</v>
      </c>
      <c r="F65" s="1" t="s">
        <v>8</v>
      </c>
      <c r="G65" s="1" t="s">
        <v>8</v>
      </c>
      <c r="H65" s="1" t="s">
        <v>8</v>
      </c>
      <c r="I65" s="1" t="s">
        <v>8</v>
      </c>
      <c r="J65" s="1"/>
    </row>
    <row r="66" spans="1:10">
      <c r="A66" s="41"/>
      <c r="B66" s="36"/>
      <c r="C66" s="1">
        <v>5</v>
      </c>
      <c r="D66" s="1">
        <v>178</v>
      </c>
      <c r="E66" s="1">
        <v>165</v>
      </c>
      <c r="F66" s="1" t="s">
        <v>8</v>
      </c>
      <c r="G66" s="1" t="s">
        <v>8</v>
      </c>
      <c r="H66" s="1" t="s">
        <v>8</v>
      </c>
      <c r="I66" s="1" t="s">
        <v>8</v>
      </c>
      <c r="J66" s="1"/>
    </row>
    <row r="67" spans="1:10">
      <c r="A67" s="41"/>
      <c r="B67" s="36"/>
      <c r="C67" s="1">
        <v>6</v>
      </c>
      <c r="D67" s="1">
        <v>128</v>
      </c>
      <c r="E67" s="1">
        <v>157</v>
      </c>
      <c r="F67" s="1" t="s">
        <v>8</v>
      </c>
      <c r="G67" s="1" t="s">
        <v>8</v>
      </c>
      <c r="H67" s="1" t="s">
        <v>8</v>
      </c>
      <c r="I67" s="1" t="s">
        <v>8</v>
      </c>
      <c r="J67" s="1"/>
    </row>
    <row r="68" spans="1:10">
      <c r="A68" s="41"/>
      <c r="B68" s="36"/>
      <c r="C68" s="7" t="s">
        <v>6</v>
      </c>
      <c r="D68" s="8">
        <f>IF(SUM(D62:D67)=0,"-",SUM(D62:D67))</f>
        <v>911</v>
      </c>
      <c r="E68" s="8">
        <f t="shared" ref="E68:F68" si="38">IF(SUM(E62:E67)=0,"-",SUM(E62:E67))</f>
        <v>849</v>
      </c>
      <c r="F68" s="8" t="str">
        <f t="shared" si="38"/>
        <v>-</v>
      </c>
      <c r="G68" s="8" t="str">
        <f t="shared" ref="G68" si="39">IF(SUM(G62:G67)=0,"-",SUM(G62:G67))</f>
        <v>-</v>
      </c>
      <c r="H68" s="8" t="str">
        <f t="shared" ref="H68:I68" si="40">IF(SUM(H62:H67)=0,"-",SUM(H62:H67))</f>
        <v>-</v>
      </c>
      <c r="I68" s="8" t="str">
        <f t="shared" si="40"/>
        <v>-</v>
      </c>
      <c r="J68" s="8"/>
    </row>
    <row r="69" spans="1:10">
      <c r="A69" s="41"/>
      <c r="B69" s="36"/>
      <c r="C69" s="9" t="s">
        <v>7</v>
      </c>
      <c r="D69" s="10">
        <f>IF(D68="-","-",D68/MAX($C62:$C67))</f>
        <v>151.83333333333334</v>
      </c>
      <c r="E69" s="10">
        <f t="shared" ref="E69:F69" si="41">IF(E68="-","-",E68/MAX($C62:$C67))</f>
        <v>141.5</v>
      </c>
      <c r="F69" s="10" t="str">
        <f t="shared" si="41"/>
        <v>-</v>
      </c>
      <c r="G69" s="10" t="str">
        <f t="shared" ref="G69" si="42">IF(G68="-","-",G68/MAX($C62:$C67))</f>
        <v>-</v>
      </c>
      <c r="H69" s="10" t="str">
        <f t="shared" ref="H69:I69" si="43">IF(H68="-","-",H68/MAX($C62:$C67))</f>
        <v>-</v>
      </c>
      <c r="I69" s="10" t="str">
        <f t="shared" si="43"/>
        <v>-</v>
      </c>
      <c r="J69" s="10"/>
    </row>
    <row r="70" spans="1:10">
      <c r="A70" s="41">
        <v>11</v>
      </c>
      <c r="B70" s="36">
        <v>44140</v>
      </c>
      <c r="C70" s="1">
        <v>1</v>
      </c>
      <c r="D70" s="1">
        <v>154</v>
      </c>
      <c r="E70" s="1">
        <v>144</v>
      </c>
      <c r="F70" s="1" t="s">
        <v>8</v>
      </c>
      <c r="G70" s="1" t="s">
        <v>8</v>
      </c>
      <c r="H70" s="1" t="s">
        <v>8</v>
      </c>
      <c r="I70" s="1" t="s">
        <v>8</v>
      </c>
      <c r="J70" s="1"/>
    </row>
    <row r="71" spans="1:10">
      <c r="A71" s="41"/>
      <c r="B71" s="36"/>
      <c r="C71" s="1">
        <v>2</v>
      </c>
      <c r="D71" s="1">
        <v>155</v>
      </c>
      <c r="E71" s="1">
        <v>124</v>
      </c>
      <c r="F71" s="1" t="s">
        <v>8</v>
      </c>
      <c r="G71" s="1" t="s">
        <v>8</v>
      </c>
      <c r="H71" s="1" t="s">
        <v>8</v>
      </c>
      <c r="I71" s="1" t="s">
        <v>8</v>
      </c>
      <c r="J71" s="1"/>
    </row>
    <row r="72" spans="1:10">
      <c r="A72" s="41"/>
      <c r="B72" s="36"/>
      <c r="C72" s="1">
        <v>3</v>
      </c>
      <c r="D72" s="1">
        <v>139</v>
      </c>
      <c r="E72" s="1">
        <v>123</v>
      </c>
      <c r="F72" s="1" t="s">
        <v>8</v>
      </c>
      <c r="G72" s="1" t="s">
        <v>8</v>
      </c>
      <c r="H72" s="1" t="s">
        <v>8</v>
      </c>
      <c r="I72" s="1" t="s">
        <v>8</v>
      </c>
      <c r="J72" s="1"/>
    </row>
    <row r="73" spans="1:10">
      <c r="A73" s="41"/>
      <c r="B73" s="36"/>
      <c r="C73" s="1">
        <v>4</v>
      </c>
      <c r="D73" s="1">
        <v>186</v>
      </c>
      <c r="E73" s="1">
        <v>98</v>
      </c>
      <c r="F73" s="1" t="s">
        <v>8</v>
      </c>
      <c r="G73" s="1" t="s">
        <v>8</v>
      </c>
      <c r="H73" s="1" t="s">
        <v>8</v>
      </c>
      <c r="I73" s="1" t="s">
        <v>8</v>
      </c>
      <c r="J73" s="1"/>
    </row>
    <row r="74" spans="1:10">
      <c r="A74" s="41"/>
      <c r="B74" s="36"/>
      <c r="C74" s="1">
        <v>5</v>
      </c>
      <c r="D74" s="1">
        <v>161</v>
      </c>
      <c r="E74" s="1">
        <v>159</v>
      </c>
      <c r="F74" s="1" t="s">
        <v>8</v>
      </c>
      <c r="G74" s="1" t="s">
        <v>8</v>
      </c>
      <c r="H74" s="1" t="s">
        <v>8</v>
      </c>
      <c r="I74" s="1" t="s">
        <v>8</v>
      </c>
      <c r="J74" s="1"/>
    </row>
    <row r="75" spans="1:10">
      <c r="A75" s="41"/>
      <c r="B75" s="36"/>
      <c r="C75" s="1">
        <v>6</v>
      </c>
      <c r="D75" s="1">
        <v>137</v>
      </c>
      <c r="E75" s="1">
        <v>117</v>
      </c>
      <c r="F75" s="1" t="s">
        <v>8</v>
      </c>
      <c r="G75" s="1" t="s">
        <v>8</v>
      </c>
      <c r="H75" s="1" t="s">
        <v>8</v>
      </c>
      <c r="I75" s="1" t="s">
        <v>8</v>
      </c>
      <c r="J75" s="1"/>
    </row>
    <row r="76" spans="1:10">
      <c r="A76" s="41"/>
      <c r="B76" s="36"/>
      <c r="C76" s="7" t="s">
        <v>6</v>
      </c>
      <c r="D76" s="8">
        <f>IF(SUM(D70:D75)=0,"-",SUM(D70:D75))</f>
        <v>932</v>
      </c>
      <c r="E76" s="8">
        <f t="shared" ref="E76:F76" si="44">IF(SUM(E70:E75)=0,"-",SUM(E70:E75))</f>
        <v>765</v>
      </c>
      <c r="F76" s="8" t="str">
        <f t="shared" si="44"/>
        <v>-</v>
      </c>
      <c r="G76" s="8" t="str">
        <f t="shared" ref="G76" si="45">IF(SUM(G70:G75)=0,"-",SUM(G70:G75))</f>
        <v>-</v>
      </c>
      <c r="H76" s="8" t="str">
        <f t="shared" ref="H76:I76" si="46">IF(SUM(H70:H75)=0,"-",SUM(H70:H75))</f>
        <v>-</v>
      </c>
      <c r="I76" s="8" t="str">
        <f t="shared" si="46"/>
        <v>-</v>
      </c>
      <c r="J76" s="8"/>
    </row>
    <row r="77" spans="1:10">
      <c r="A77" s="41"/>
      <c r="B77" s="36"/>
      <c r="C77" s="9" t="s">
        <v>7</v>
      </c>
      <c r="D77" s="10">
        <f>IF(D76="-","-",D76/MAX($C70:$C75))</f>
        <v>155.33333333333334</v>
      </c>
      <c r="E77" s="10">
        <f t="shared" ref="E77:F77" si="47">IF(E76="-","-",E76/MAX($C70:$C75))</f>
        <v>127.5</v>
      </c>
      <c r="F77" s="10" t="str">
        <f t="shared" si="47"/>
        <v>-</v>
      </c>
      <c r="G77" s="10" t="str">
        <f t="shared" ref="G77" si="48">IF(G76="-","-",G76/MAX($C70:$C75))</f>
        <v>-</v>
      </c>
      <c r="H77" s="10" t="str">
        <f t="shared" ref="H77:I77" si="49">IF(H76="-","-",H76/MAX($C70:$C75))</f>
        <v>-</v>
      </c>
      <c r="I77" s="10" t="str">
        <f t="shared" si="49"/>
        <v>-</v>
      </c>
      <c r="J77" s="10"/>
    </row>
    <row r="78" spans="1:10">
      <c r="A78" s="41">
        <v>12</v>
      </c>
      <c r="B78" s="36">
        <v>44143</v>
      </c>
      <c r="C78" s="1">
        <v>1</v>
      </c>
      <c r="D78" s="1" t="s">
        <v>8</v>
      </c>
      <c r="E78" s="1">
        <v>163</v>
      </c>
      <c r="F78" s="1" t="s">
        <v>8</v>
      </c>
      <c r="G78" s="1" t="s">
        <v>8</v>
      </c>
      <c r="H78" s="1" t="s">
        <v>8</v>
      </c>
      <c r="I78" s="1" t="s">
        <v>8</v>
      </c>
      <c r="J78" s="1"/>
    </row>
    <row r="79" spans="1:10">
      <c r="A79" s="41"/>
      <c r="B79" s="36"/>
      <c r="C79" s="1">
        <v>2</v>
      </c>
      <c r="D79" s="1" t="s">
        <v>8</v>
      </c>
      <c r="E79" s="1">
        <v>141</v>
      </c>
      <c r="F79" s="1" t="s">
        <v>8</v>
      </c>
      <c r="G79" s="1" t="s">
        <v>8</v>
      </c>
      <c r="H79" s="1" t="s">
        <v>8</v>
      </c>
      <c r="I79" s="1" t="s">
        <v>8</v>
      </c>
      <c r="J79" s="1"/>
    </row>
    <row r="80" spans="1:10">
      <c r="A80" s="41"/>
      <c r="B80" s="36"/>
      <c r="C80" s="1">
        <v>3</v>
      </c>
      <c r="D80" s="1" t="s">
        <v>8</v>
      </c>
      <c r="E80" s="1">
        <v>149</v>
      </c>
      <c r="F80" s="1" t="s">
        <v>8</v>
      </c>
      <c r="G80" s="1" t="s">
        <v>8</v>
      </c>
      <c r="H80" s="1" t="s">
        <v>8</v>
      </c>
      <c r="I80" s="1" t="s">
        <v>8</v>
      </c>
      <c r="J80" s="1"/>
    </row>
    <row r="81" spans="1:10">
      <c r="A81" s="41"/>
      <c r="B81" s="36"/>
      <c r="C81" s="1">
        <v>4</v>
      </c>
      <c r="D81" s="1" t="s">
        <v>8</v>
      </c>
      <c r="E81" s="1">
        <v>149</v>
      </c>
      <c r="F81" s="1" t="s">
        <v>8</v>
      </c>
      <c r="G81" s="1" t="s">
        <v>8</v>
      </c>
      <c r="H81" s="1" t="s">
        <v>8</v>
      </c>
      <c r="I81" s="1" t="s">
        <v>8</v>
      </c>
      <c r="J81" s="1"/>
    </row>
    <row r="82" spans="1:10">
      <c r="A82" s="41"/>
      <c r="B82" s="36"/>
      <c r="C82" s="1">
        <v>5</v>
      </c>
      <c r="D82" s="1" t="s">
        <v>8</v>
      </c>
      <c r="E82" s="1">
        <v>176</v>
      </c>
      <c r="F82" s="1" t="s">
        <v>8</v>
      </c>
      <c r="G82" s="1" t="s">
        <v>8</v>
      </c>
      <c r="H82" s="1" t="s">
        <v>8</v>
      </c>
      <c r="I82" s="1" t="s">
        <v>8</v>
      </c>
      <c r="J82" s="1"/>
    </row>
    <row r="83" spans="1:10">
      <c r="A83" s="41"/>
      <c r="B83" s="36"/>
      <c r="C83" s="7" t="s">
        <v>6</v>
      </c>
      <c r="D83" s="8" t="str">
        <f t="shared" ref="D83:I83" si="50">IF(SUM(D78:D82)=0,"-",SUM(D78:D82))</f>
        <v>-</v>
      </c>
      <c r="E83" s="8">
        <f t="shared" si="50"/>
        <v>778</v>
      </c>
      <c r="F83" s="8" t="str">
        <f t="shared" si="50"/>
        <v>-</v>
      </c>
      <c r="G83" s="8" t="str">
        <f t="shared" si="50"/>
        <v>-</v>
      </c>
      <c r="H83" s="8" t="str">
        <f t="shared" si="50"/>
        <v>-</v>
      </c>
      <c r="I83" s="8" t="str">
        <f t="shared" si="50"/>
        <v>-</v>
      </c>
      <c r="J83" s="8"/>
    </row>
    <row r="84" spans="1:10">
      <c r="A84" s="41"/>
      <c r="B84" s="36"/>
      <c r="C84" s="9" t="s">
        <v>7</v>
      </c>
      <c r="D84" s="10" t="str">
        <f t="shared" ref="D84:I84" si="51">IF(D83="-","-",D83/MAX($C78:$C82))</f>
        <v>-</v>
      </c>
      <c r="E84" s="10">
        <f t="shared" si="51"/>
        <v>155.6</v>
      </c>
      <c r="F84" s="10" t="str">
        <f t="shared" si="51"/>
        <v>-</v>
      </c>
      <c r="G84" s="10" t="str">
        <f t="shared" si="51"/>
        <v>-</v>
      </c>
      <c r="H84" s="10" t="str">
        <f t="shared" si="51"/>
        <v>-</v>
      </c>
      <c r="I84" s="10" t="str">
        <f t="shared" si="51"/>
        <v>-</v>
      </c>
      <c r="J84" s="10"/>
    </row>
    <row r="85" spans="1:10">
      <c r="A85" s="41">
        <v>13</v>
      </c>
      <c r="B85" s="36">
        <v>44147</v>
      </c>
      <c r="C85" s="1">
        <v>1</v>
      </c>
      <c r="D85" s="1">
        <v>126</v>
      </c>
      <c r="E85" s="1">
        <v>199</v>
      </c>
      <c r="F85" s="1" t="s">
        <v>8</v>
      </c>
      <c r="G85" s="1">
        <v>116</v>
      </c>
      <c r="H85" s="1" t="s">
        <v>8</v>
      </c>
      <c r="I85" s="1" t="s">
        <v>8</v>
      </c>
      <c r="J85" s="1"/>
    </row>
    <row r="86" spans="1:10">
      <c r="A86" s="41"/>
      <c r="B86" s="36"/>
      <c r="C86" s="1">
        <v>2</v>
      </c>
      <c r="D86" s="1">
        <v>120</v>
      </c>
      <c r="E86" s="1">
        <v>141</v>
      </c>
      <c r="F86" s="1" t="s">
        <v>8</v>
      </c>
      <c r="G86" s="1">
        <v>136</v>
      </c>
      <c r="H86" s="1" t="s">
        <v>8</v>
      </c>
      <c r="I86" s="1" t="s">
        <v>8</v>
      </c>
      <c r="J86" s="1"/>
    </row>
    <row r="87" spans="1:10">
      <c r="A87" s="41"/>
      <c r="B87" s="36"/>
      <c r="C87" s="1">
        <v>3</v>
      </c>
      <c r="D87" s="1">
        <v>138</v>
      </c>
      <c r="E87" s="1">
        <v>129</v>
      </c>
      <c r="F87" s="1" t="s">
        <v>8</v>
      </c>
      <c r="G87" s="1">
        <v>93</v>
      </c>
      <c r="H87" s="1" t="s">
        <v>8</v>
      </c>
      <c r="I87" s="1" t="s">
        <v>8</v>
      </c>
      <c r="J87" s="1"/>
    </row>
    <row r="88" spans="1:10">
      <c r="A88" s="41"/>
      <c r="B88" s="36"/>
      <c r="C88" s="1">
        <v>4</v>
      </c>
      <c r="D88" s="1">
        <v>146</v>
      </c>
      <c r="E88" s="1">
        <v>156</v>
      </c>
      <c r="F88" s="1" t="s">
        <v>8</v>
      </c>
      <c r="G88" s="1">
        <v>106</v>
      </c>
      <c r="H88" s="1" t="s">
        <v>8</v>
      </c>
      <c r="I88" s="1" t="s">
        <v>8</v>
      </c>
      <c r="J88" s="1"/>
    </row>
    <row r="89" spans="1:10">
      <c r="A89" s="41"/>
      <c r="B89" s="36"/>
      <c r="C89" s="1">
        <v>5</v>
      </c>
      <c r="D89" s="1">
        <v>106</v>
      </c>
      <c r="E89" s="1">
        <v>147</v>
      </c>
      <c r="F89" s="1" t="s">
        <v>8</v>
      </c>
      <c r="G89" s="1">
        <v>101</v>
      </c>
      <c r="H89" s="1" t="s">
        <v>8</v>
      </c>
      <c r="I89" s="1" t="s">
        <v>8</v>
      </c>
      <c r="J89" s="1"/>
    </row>
    <row r="90" spans="1:10">
      <c r="A90" s="41"/>
      <c r="B90" s="36"/>
      <c r="C90" s="7" t="s">
        <v>6</v>
      </c>
      <c r="D90" s="8">
        <f t="shared" ref="D90:I90" si="52">IF(SUM(D85:D89)=0,"-",SUM(D85:D89))</f>
        <v>636</v>
      </c>
      <c r="E90" s="8">
        <f t="shared" si="52"/>
        <v>772</v>
      </c>
      <c r="F90" s="8" t="str">
        <f t="shared" si="52"/>
        <v>-</v>
      </c>
      <c r="G90" s="8">
        <f t="shared" si="52"/>
        <v>552</v>
      </c>
      <c r="H90" s="8" t="str">
        <f t="shared" si="52"/>
        <v>-</v>
      </c>
      <c r="I90" s="8" t="str">
        <f t="shared" si="52"/>
        <v>-</v>
      </c>
      <c r="J90" s="8"/>
    </row>
    <row r="91" spans="1:10">
      <c r="A91" s="41"/>
      <c r="B91" s="36"/>
      <c r="C91" s="9" t="s">
        <v>7</v>
      </c>
      <c r="D91" s="10">
        <f t="shared" ref="D91:I91" si="53">IF(D90="-","-",D90/MAX($C85:$C89))</f>
        <v>127.2</v>
      </c>
      <c r="E91" s="10">
        <f t="shared" si="53"/>
        <v>154.4</v>
      </c>
      <c r="F91" s="10" t="str">
        <f t="shared" si="53"/>
        <v>-</v>
      </c>
      <c r="G91" s="10">
        <f t="shared" si="53"/>
        <v>110.4</v>
      </c>
      <c r="H91" s="10" t="str">
        <f t="shared" si="53"/>
        <v>-</v>
      </c>
      <c r="I91" s="10" t="str">
        <f t="shared" si="53"/>
        <v>-</v>
      </c>
      <c r="J91" s="10"/>
    </row>
    <row r="92" spans="1:10">
      <c r="A92" s="41">
        <v>14</v>
      </c>
      <c r="B92" s="36">
        <v>44154</v>
      </c>
      <c r="C92" s="1">
        <v>1</v>
      </c>
      <c r="D92" s="1">
        <v>123</v>
      </c>
      <c r="E92" s="1">
        <v>148</v>
      </c>
      <c r="F92" s="1" t="s">
        <v>8</v>
      </c>
      <c r="G92" s="1">
        <v>87</v>
      </c>
      <c r="H92" s="1" t="s">
        <v>8</v>
      </c>
      <c r="I92" s="1" t="s">
        <v>8</v>
      </c>
      <c r="J92" s="1"/>
    </row>
    <row r="93" spans="1:10">
      <c r="A93" s="41"/>
      <c r="B93" s="36"/>
      <c r="C93" s="1">
        <v>2</v>
      </c>
      <c r="D93" s="1">
        <v>137</v>
      </c>
      <c r="E93" s="1">
        <v>153</v>
      </c>
      <c r="F93" s="1" t="s">
        <v>8</v>
      </c>
      <c r="G93" s="1">
        <v>106</v>
      </c>
      <c r="H93" s="1" t="s">
        <v>8</v>
      </c>
      <c r="I93" s="1" t="s">
        <v>8</v>
      </c>
      <c r="J93" s="1"/>
    </row>
    <row r="94" spans="1:10">
      <c r="A94" s="41"/>
      <c r="B94" s="36"/>
      <c r="C94" s="1">
        <v>3</v>
      </c>
      <c r="D94" s="1">
        <v>148</v>
      </c>
      <c r="E94" s="1">
        <v>109</v>
      </c>
      <c r="F94" s="1" t="s">
        <v>8</v>
      </c>
      <c r="G94" s="1">
        <v>96</v>
      </c>
      <c r="H94" s="1" t="s">
        <v>8</v>
      </c>
      <c r="I94" s="1" t="s">
        <v>8</v>
      </c>
      <c r="J94" s="1"/>
    </row>
    <row r="95" spans="1:10">
      <c r="A95" s="41"/>
      <c r="B95" s="36"/>
      <c r="C95" s="1">
        <v>4</v>
      </c>
      <c r="D95" s="1">
        <v>152</v>
      </c>
      <c r="E95" s="1">
        <v>197</v>
      </c>
      <c r="F95" s="1" t="s">
        <v>8</v>
      </c>
      <c r="G95" s="1">
        <v>131</v>
      </c>
      <c r="H95" s="1" t="s">
        <v>8</v>
      </c>
      <c r="I95" s="1" t="s">
        <v>8</v>
      </c>
      <c r="J95" s="1"/>
    </row>
    <row r="96" spans="1:10">
      <c r="A96" s="41"/>
      <c r="B96" s="36"/>
      <c r="C96" s="1">
        <v>5</v>
      </c>
      <c r="D96" s="1">
        <v>152</v>
      </c>
      <c r="E96" s="1">
        <v>163</v>
      </c>
      <c r="F96" s="1" t="s">
        <v>8</v>
      </c>
      <c r="G96" s="1">
        <v>101</v>
      </c>
      <c r="H96" s="1" t="s">
        <v>8</v>
      </c>
      <c r="I96" s="1" t="s">
        <v>8</v>
      </c>
      <c r="J96" s="1"/>
    </row>
    <row r="97" spans="1:10">
      <c r="A97" s="41"/>
      <c r="B97" s="36"/>
      <c r="C97" s="7" t="s">
        <v>6</v>
      </c>
      <c r="D97" s="8">
        <f t="shared" ref="D97:I97" si="54">IF(SUM(D92:D96)=0,"-",SUM(D92:D96))</f>
        <v>712</v>
      </c>
      <c r="E97" s="8">
        <f t="shared" si="54"/>
        <v>770</v>
      </c>
      <c r="F97" s="8" t="str">
        <f t="shared" si="54"/>
        <v>-</v>
      </c>
      <c r="G97" s="8">
        <f t="shared" si="54"/>
        <v>521</v>
      </c>
      <c r="H97" s="8" t="str">
        <f t="shared" si="54"/>
        <v>-</v>
      </c>
      <c r="I97" s="8" t="str">
        <f t="shared" si="54"/>
        <v>-</v>
      </c>
      <c r="J97" s="8"/>
    </row>
    <row r="98" spans="1:10">
      <c r="A98" s="41"/>
      <c r="B98" s="36"/>
      <c r="C98" s="9" t="s">
        <v>7</v>
      </c>
      <c r="D98" s="10">
        <f t="shared" ref="D98:I98" si="55">IF(D97="-","-",D97/MAX($C92:$C96))</f>
        <v>142.4</v>
      </c>
      <c r="E98" s="10">
        <f t="shared" si="55"/>
        <v>154</v>
      </c>
      <c r="F98" s="10" t="str">
        <f t="shared" si="55"/>
        <v>-</v>
      </c>
      <c r="G98" s="10">
        <f t="shared" si="55"/>
        <v>104.2</v>
      </c>
      <c r="H98" s="10" t="str">
        <f t="shared" si="55"/>
        <v>-</v>
      </c>
      <c r="I98" s="10" t="str">
        <f t="shared" si="55"/>
        <v>-</v>
      </c>
      <c r="J98" s="10"/>
    </row>
    <row r="99" spans="1:10">
      <c r="A99" s="41">
        <v>15</v>
      </c>
      <c r="B99" s="36">
        <v>44154</v>
      </c>
      <c r="C99" s="1">
        <v>1</v>
      </c>
      <c r="D99" s="1">
        <v>125</v>
      </c>
      <c r="E99" s="1">
        <v>148</v>
      </c>
      <c r="F99" s="1" t="s">
        <v>8</v>
      </c>
      <c r="G99" s="1">
        <v>120</v>
      </c>
      <c r="H99" s="1" t="s">
        <v>8</v>
      </c>
      <c r="I99" s="1" t="s">
        <v>8</v>
      </c>
      <c r="J99" s="1"/>
    </row>
    <row r="100" spans="1:10">
      <c r="A100" s="41"/>
      <c r="B100" s="36"/>
      <c r="C100" s="1">
        <v>2</v>
      </c>
      <c r="D100" s="1">
        <v>138</v>
      </c>
      <c r="E100" s="1">
        <v>141</v>
      </c>
      <c r="F100" s="1" t="s">
        <v>8</v>
      </c>
      <c r="G100" s="1">
        <v>98</v>
      </c>
      <c r="H100" s="1" t="s">
        <v>8</v>
      </c>
      <c r="I100" s="1" t="s">
        <v>8</v>
      </c>
      <c r="J100" s="1"/>
    </row>
    <row r="101" spans="1:10">
      <c r="A101" s="41"/>
      <c r="B101" s="36"/>
      <c r="C101" s="1">
        <v>3</v>
      </c>
      <c r="D101" s="1">
        <v>124</v>
      </c>
      <c r="E101" s="1">
        <v>128</v>
      </c>
      <c r="F101" s="1" t="s">
        <v>8</v>
      </c>
      <c r="G101" s="1">
        <v>103</v>
      </c>
      <c r="H101" s="1" t="s">
        <v>8</v>
      </c>
      <c r="I101" s="1" t="s">
        <v>8</v>
      </c>
      <c r="J101" s="1"/>
    </row>
    <row r="102" spans="1:10">
      <c r="A102" s="41"/>
      <c r="B102" s="36"/>
      <c r="C102" s="1">
        <v>4</v>
      </c>
      <c r="D102" s="1">
        <v>124</v>
      </c>
      <c r="E102" s="1">
        <v>192</v>
      </c>
      <c r="F102" s="1" t="s">
        <v>8</v>
      </c>
      <c r="G102" s="1">
        <v>125</v>
      </c>
      <c r="H102" s="1" t="s">
        <v>8</v>
      </c>
      <c r="I102" s="1" t="s">
        <v>8</v>
      </c>
      <c r="J102" s="1"/>
    </row>
    <row r="103" spans="1:10">
      <c r="A103" s="41"/>
      <c r="B103" s="36"/>
      <c r="C103" s="1">
        <v>5</v>
      </c>
      <c r="D103" s="1">
        <v>142</v>
      </c>
      <c r="E103" s="1">
        <v>141</v>
      </c>
      <c r="F103" s="1" t="s">
        <v>8</v>
      </c>
      <c r="G103" s="1">
        <v>100</v>
      </c>
      <c r="H103" s="1" t="s">
        <v>8</v>
      </c>
      <c r="I103" s="1" t="s">
        <v>8</v>
      </c>
      <c r="J103" s="1"/>
    </row>
    <row r="104" spans="1:10">
      <c r="A104" s="41"/>
      <c r="B104" s="36"/>
      <c r="C104" s="7" t="s">
        <v>6</v>
      </c>
      <c r="D104" s="8">
        <f t="shared" ref="D104:I104" si="56">IF(SUM(D99:D103)=0,"-",SUM(D99:D103))</f>
        <v>653</v>
      </c>
      <c r="E104" s="8">
        <f t="shared" si="56"/>
        <v>750</v>
      </c>
      <c r="F104" s="8" t="str">
        <f t="shared" si="56"/>
        <v>-</v>
      </c>
      <c r="G104" s="8">
        <f t="shared" si="56"/>
        <v>546</v>
      </c>
      <c r="H104" s="8" t="str">
        <f t="shared" si="56"/>
        <v>-</v>
      </c>
      <c r="I104" s="8" t="str">
        <f t="shared" si="56"/>
        <v>-</v>
      </c>
      <c r="J104" s="8"/>
    </row>
    <row r="105" spans="1:10">
      <c r="A105" s="41"/>
      <c r="B105" s="36"/>
      <c r="C105" s="9" t="s">
        <v>7</v>
      </c>
      <c r="D105" s="10">
        <f t="shared" ref="D105:I105" si="57">IF(D104="-","-",D104/MAX($C99:$C103))</f>
        <v>130.6</v>
      </c>
      <c r="E105" s="10">
        <f t="shared" si="57"/>
        <v>150</v>
      </c>
      <c r="F105" s="10" t="str">
        <f t="shared" si="57"/>
        <v>-</v>
      </c>
      <c r="G105" s="10">
        <f t="shared" si="57"/>
        <v>109.2</v>
      </c>
      <c r="H105" s="10" t="str">
        <f t="shared" si="57"/>
        <v>-</v>
      </c>
      <c r="I105" s="10" t="str">
        <f t="shared" si="57"/>
        <v>-</v>
      </c>
      <c r="J105" s="10"/>
    </row>
    <row r="106" spans="1:10">
      <c r="A106" s="41">
        <v>16</v>
      </c>
      <c r="B106" s="36">
        <v>44167</v>
      </c>
      <c r="C106" s="1">
        <v>1</v>
      </c>
      <c r="D106" s="1">
        <v>108</v>
      </c>
      <c r="E106" s="1">
        <v>121</v>
      </c>
      <c r="F106" s="1" t="s">
        <v>8</v>
      </c>
      <c r="G106" s="1" t="s">
        <v>8</v>
      </c>
      <c r="H106" s="1" t="s">
        <v>8</v>
      </c>
      <c r="I106" s="1" t="s">
        <v>8</v>
      </c>
      <c r="J106" s="1"/>
    </row>
    <row r="107" spans="1:10">
      <c r="A107" s="41"/>
      <c r="B107" s="36"/>
      <c r="C107" s="1">
        <v>2</v>
      </c>
      <c r="D107" s="1">
        <v>117</v>
      </c>
      <c r="E107" s="1">
        <v>102</v>
      </c>
      <c r="F107" s="1" t="s">
        <v>8</v>
      </c>
      <c r="G107" s="1" t="s">
        <v>8</v>
      </c>
      <c r="H107" s="1" t="s">
        <v>8</v>
      </c>
      <c r="I107" s="1" t="s">
        <v>8</v>
      </c>
      <c r="J107" s="1"/>
    </row>
    <row r="108" spans="1:10">
      <c r="A108" s="41"/>
      <c r="B108" s="36"/>
      <c r="C108" s="1">
        <v>3</v>
      </c>
      <c r="D108" s="1">
        <v>140</v>
      </c>
      <c r="E108" s="1">
        <v>119</v>
      </c>
      <c r="F108" s="1" t="s">
        <v>8</v>
      </c>
      <c r="G108" s="1" t="s">
        <v>8</v>
      </c>
      <c r="H108" s="1" t="s">
        <v>8</v>
      </c>
      <c r="I108" s="1" t="s">
        <v>8</v>
      </c>
      <c r="J108" s="1"/>
    </row>
    <row r="109" spans="1:10">
      <c r="A109" s="41"/>
      <c r="B109" s="36"/>
      <c r="C109" s="1">
        <v>4</v>
      </c>
      <c r="D109" s="1">
        <v>147</v>
      </c>
      <c r="E109" s="1">
        <v>95</v>
      </c>
      <c r="F109" s="1" t="s">
        <v>8</v>
      </c>
      <c r="G109" s="1" t="s">
        <v>8</v>
      </c>
      <c r="H109" s="1" t="s">
        <v>8</v>
      </c>
      <c r="I109" s="1" t="s">
        <v>8</v>
      </c>
      <c r="J109" s="1"/>
    </row>
    <row r="110" spans="1:10">
      <c r="A110" s="41"/>
      <c r="B110" s="36"/>
      <c r="C110" s="1">
        <v>5</v>
      </c>
      <c r="D110" s="1">
        <v>132</v>
      </c>
      <c r="E110" s="1">
        <v>145</v>
      </c>
      <c r="F110" s="1" t="s">
        <v>8</v>
      </c>
      <c r="G110" s="1" t="s">
        <v>8</v>
      </c>
      <c r="H110" s="1" t="s">
        <v>8</v>
      </c>
      <c r="I110" s="1" t="s">
        <v>8</v>
      </c>
      <c r="J110" s="1"/>
    </row>
    <row r="111" spans="1:10">
      <c r="A111" s="41"/>
      <c r="B111" s="36"/>
      <c r="C111" s="1">
        <v>6</v>
      </c>
      <c r="D111" s="1">
        <v>146</v>
      </c>
      <c r="E111" s="1">
        <v>141</v>
      </c>
      <c r="F111" s="1" t="s">
        <v>8</v>
      </c>
      <c r="G111" s="1" t="s">
        <v>8</v>
      </c>
      <c r="H111" s="1" t="s">
        <v>8</v>
      </c>
      <c r="I111" s="1" t="s">
        <v>8</v>
      </c>
      <c r="J111" s="1"/>
    </row>
    <row r="112" spans="1:10">
      <c r="A112" s="41"/>
      <c r="B112" s="36"/>
      <c r="C112" s="7" t="s">
        <v>6</v>
      </c>
      <c r="D112" s="8">
        <f>IF(SUM(D106:D111)=0,"-",SUM(D106:D111))</f>
        <v>790</v>
      </c>
      <c r="E112" s="8">
        <f t="shared" ref="E112:G112" si="58">IF(SUM(E106:E111)=0,"-",SUM(E106:E111))</f>
        <v>723</v>
      </c>
      <c r="F112" s="8" t="str">
        <f t="shared" si="58"/>
        <v>-</v>
      </c>
      <c r="G112" s="8" t="str">
        <f t="shared" si="58"/>
        <v>-</v>
      </c>
      <c r="H112" s="8" t="str">
        <f t="shared" ref="H112:I112" si="59">IF(SUM(H106:H111)=0,"-",SUM(H106:H111))</f>
        <v>-</v>
      </c>
      <c r="I112" s="8" t="str">
        <f t="shared" si="59"/>
        <v>-</v>
      </c>
      <c r="J112" s="8"/>
    </row>
    <row r="113" spans="1:13">
      <c r="A113" s="41"/>
      <c r="B113" s="36"/>
      <c r="C113" s="9" t="s">
        <v>7</v>
      </c>
      <c r="D113" s="10">
        <f>IF(D112="-","-",D112/MAX($C106:$C111))</f>
        <v>131.66666666666666</v>
      </c>
      <c r="E113" s="10">
        <f t="shared" ref="E113:G113" si="60">IF(E112="-","-",E112/MAX($C106:$C111))</f>
        <v>120.5</v>
      </c>
      <c r="F113" s="10" t="str">
        <f t="shared" si="60"/>
        <v>-</v>
      </c>
      <c r="G113" s="10" t="str">
        <f t="shared" si="60"/>
        <v>-</v>
      </c>
      <c r="H113" s="10" t="str">
        <f t="shared" ref="H113:I113" si="61">IF(H112="-","-",H112/MAX($C106:$C111))</f>
        <v>-</v>
      </c>
      <c r="I113" s="10" t="str">
        <f t="shared" si="61"/>
        <v>-</v>
      </c>
      <c r="J113" s="10"/>
    </row>
    <row r="114" spans="1:13">
      <c r="A114" s="41">
        <v>17</v>
      </c>
      <c r="B114" s="36">
        <v>44168</v>
      </c>
      <c r="C114" s="1">
        <v>1</v>
      </c>
      <c r="D114" s="1">
        <v>143</v>
      </c>
      <c r="E114" s="1">
        <v>135</v>
      </c>
      <c r="F114" s="1" t="s">
        <v>8</v>
      </c>
      <c r="G114" s="1" t="s">
        <v>8</v>
      </c>
      <c r="H114" s="1" t="s">
        <v>8</v>
      </c>
      <c r="I114" s="1" t="s">
        <v>8</v>
      </c>
      <c r="J114" s="1"/>
    </row>
    <row r="115" spans="1:13">
      <c r="A115" s="41"/>
      <c r="B115" s="36"/>
      <c r="C115" s="1">
        <v>2</v>
      </c>
      <c r="D115" s="1">
        <v>119</v>
      </c>
      <c r="E115" s="1">
        <v>91</v>
      </c>
      <c r="F115" s="1" t="s">
        <v>8</v>
      </c>
      <c r="G115" s="1" t="s">
        <v>8</v>
      </c>
      <c r="H115" s="1" t="s">
        <v>8</v>
      </c>
      <c r="I115" s="1" t="s">
        <v>8</v>
      </c>
      <c r="J115" s="1"/>
    </row>
    <row r="116" spans="1:13">
      <c r="A116" s="41"/>
      <c r="B116" s="36"/>
      <c r="C116" s="1">
        <v>3</v>
      </c>
      <c r="D116" s="1">
        <v>170</v>
      </c>
      <c r="E116" s="1">
        <v>146</v>
      </c>
      <c r="F116" s="1" t="s">
        <v>8</v>
      </c>
      <c r="G116" s="1" t="s">
        <v>8</v>
      </c>
      <c r="H116" s="1" t="s">
        <v>8</v>
      </c>
      <c r="I116" s="1" t="s">
        <v>8</v>
      </c>
      <c r="J116" s="1"/>
    </row>
    <row r="117" spans="1:13">
      <c r="A117" s="41"/>
      <c r="B117" s="36"/>
      <c r="C117" s="1">
        <v>4</v>
      </c>
      <c r="D117" s="1">
        <v>139</v>
      </c>
      <c r="E117" s="1">
        <v>188</v>
      </c>
      <c r="F117" s="1" t="s">
        <v>8</v>
      </c>
      <c r="G117" s="1" t="s">
        <v>8</v>
      </c>
      <c r="H117" s="1" t="s">
        <v>8</v>
      </c>
      <c r="I117" s="1" t="s">
        <v>8</v>
      </c>
      <c r="J117" s="1"/>
    </row>
    <row r="118" spans="1:13">
      <c r="A118" s="41"/>
      <c r="B118" s="36"/>
      <c r="C118" s="1">
        <v>5</v>
      </c>
      <c r="D118" s="1">
        <v>136</v>
      </c>
      <c r="E118" s="1">
        <v>172</v>
      </c>
      <c r="F118" s="1" t="s">
        <v>8</v>
      </c>
      <c r="G118" s="1" t="s">
        <v>8</v>
      </c>
      <c r="H118" s="1" t="s">
        <v>8</v>
      </c>
      <c r="I118" s="1" t="s">
        <v>8</v>
      </c>
      <c r="J118" s="1"/>
    </row>
    <row r="119" spans="1:13">
      <c r="A119" s="41"/>
      <c r="B119" s="36"/>
      <c r="C119" s="7" t="s">
        <v>6</v>
      </c>
      <c r="D119" s="8">
        <f t="shared" ref="D119:I119" si="62">IF(SUM(D114:D118)=0,"-",SUM(D114:D118))</f>
        <v>707</v>
      </c>
      <c r="E119" s="8">
        <f t="shared" si="62"/>
        <v>732</v>
      </c>
      <c r="F119" s="8" t="str">
        <f t="shared" si="62"/>
        <v>-</v>
      </c>
      <c r="G119" s="8" t="str">
        <f t="shared" si="62"/>
        <v>-</v>
      </c>
      <c r="H119" s="8" t="str">
        <f t="shared" si="62"/>
        <v>-</v>
      </c>
      <c r="I119" s="8" t="str">
        <f t="shared" si="62"/>
        <v>-</v>
      </c>
      <c r="J119" s="8"/>
    </row>
    <row r="120" spans="1:13">
      <c r="A120" s="41"/>
      <c r="B120" s="36"/>
      <c r="C120" s="9" t="s">
        <v>7</v>
      </c>
      <c r="D120" s="10">
        <f t="shared" ref="D120:I120" si="63">IF(D119="-","-",D119/MAX($C114:$C118))</f>
        <v>141.4</v>
      </c>
      <c r="E120" s="10">
        <f t="shared" si="63"/>
        <v>146.4</v>
      </c>
      <c r="F120" s="10" t="str">
        <f t="shared" si="63"/>
        <v>-</v>
      </c>
      <c r="G120" s="10" t="str">
        <f t="shared" si="63"/>
        <v>-</v>
      </c>
      <c r="H120" s="10" t="str">
        <f t="shared" si="63"/>
        <v>-</v>
      </c>
      <c r="I120" s="10" t="str">
        <f t="shared" si="63"/>
        <v>-</v>
      </c>
      <c r="J120" s="10"/>
    </row>
    <row r="121" spans="1:13">
      <c r="A121" s="41">
        <v>18</v>
      </c>
      <c r="B121" s="36">
        <v>44175</v>
      </c>
      <c r="C121" s="1">
        <v>1</v>
      </c>
      <c r="D121" s="1">
        <v>131</v>
      </c>
      <c r="E121" s="1">
        <v>95</v>
      </c>
      <c r="F121" s="1" t="s">
        <v>8</v>
      </c>
      <c r="G121" s="1" t="s">
        <v>8</v>
      </c>
      <c r="H121" s="1" t="s">
        <v>8</v>
      </c>
      <c r="I121" s="1" t="s">
        <v>8</v>
      </c>
      <c r="J121" s="1"/>
    </row>
    <row r="122" spans="1:13">
      <c r="A122" s="41"/>
      <c r="B122" s="36"/>
      <c r="C122" s="1">
        <v>2</v>
      </c>
      <c r="D122" s="1">
        <v>109</v>
      </c>
      <c r="E122" s="1">
        <v>95</v>
      </c>
      <c r="F122" s="1" t="s">
        <v>8</v>
      </c>
      <c r="G122" s="1" t="s">
        <v>8</v>
      </c>
      <c r="H122" s="1" t="s">
        <v>8</v>
      </c>
      <c r="I122" s="1" t="s">
        <v>8</v>
      </c>
      <c r="J122" s="1"/>
    </row>
    <row r="123" spans="1:13">
      <c r="A123" s="41"/>
      <c r="B123" s="36"/>
      <c r="C123" s="1">
        <v>3</v>
      </c>
      <c r="D123" s="1">
        <v>125</v>
      </c>
      <c r="E123" s="1">
        <v>99</v>
      </c>
      <c r="F123" s="1" t="s">
        <v>8</v>
      </c>
      <c r="G123" s="1" t="s">
        <v>8</v>
      </c>
      <c r="H123" s="1" t="s">
        <v>8</v>
      </c>
      <c r="I123" s="1" t="s">
        <v>8</v>
      </c>
      <c r="J123" s="1"/>
    </row>
    <row r="124" spans="1:13">
      <c r="A124" s="41"/>
      <c r="B124" s="36"/>
      <c r="C124" s="1">
        <v>4</v>
      </c>
      <c r="D124" s="1">
        <v>109</v>
      </c>
      <c r="E124" s="1">
        <v>125</v>
      </c>
      <c r="F124" s="1" t="s">
        <v>8</v>
      </c>
      <c r="G124" s="1" t="s">
        <v>8</v>
      </c>
      <c r="H124" s="1" t="s">
        <v>8</v>
      </c>
      <c r="I124" s="1" t="s">
        <v>8</v>
      </c>
      <c r="J124" s="1"/>
    </row>
    <row r="125" spans="1:13">
      <c r="A125" s="41"/>
      <c r="B125" s="36"/>
      <c r="C125" s="1">
        <v>5</v>
      </c>
      <c r="D125" s="1">
        <v>142</v>
      </c>
      <c r="E125" s="1">
        <v>187</v>
      </c>
      <c r="F125" s="1" t="s">
        <v>8</v>
      </c>
      <c r="G125" s="1" t="s">
        <v>8</v>
      </c>
      <c r="H125" s="1" t="s">
        <v>8</v>
      </c>
      <c r="I125" s="1" t="s">
        <v>8</v>
      </c>
      <c r="J125" s="1"/>
    </row>
    <row r="126" spans="1:13">
      <c r="A126" s="41"/>
      <c r="B126" s="36"/>
      <c r="C126" s="7" t="s">
        <v>6</v>
      </c>
      <c r="D126" s="8">
        <f t="shared" ref="D126:I126" si="64">IF(SUM(D121:D125)=0,"-",SUM(D121:D125))</f>
        <v>616</v>
      </c>
      <c r="E126" s="8">
        <f t="shared" si="64"/>
        <v>601</v>
      </c>
      <c r="F126" s="8" t="str">
        <f t="shared" si="64"/>
        <v>-</v>
      </c>
      <c r="G126" s="8" t="str">
        <f t="shared" si="64"/>
        <v>-</v>
      </c>
      <c r="H126" s="8" t="str">
        <f t="shared" si="64"/>
        <v>-</v>
      </c>
      <c r="I126" s="8" t="str">
        <f t="shared" si="64"/>
        <v>-</v>
      </c>
      <c r="J126" s="8"/>
    </row>
    <row r="127" spans="1:13">
      <c r="A127" s="41"/>
      <c r="B127" s="36"/>
      <c r="C127" s="9" t="s">
        <v>7</v>
      </c>
      <c r="D127" s="10">
        <f t="shared" ref="D127:I127" si="65">IF(D126="-","-",D126/MAX($C121:$C125))</f>
        <v>123.2</v>
      </c>
      <c r="E127" s="10">
        <f t="shared" si="65"/>
        <v>120.2</v>
      </c>
      <c r="F127" s="10" t="str">
        <f t="shared" si="65"/>
        <v>-</v>
      </c>
      <c r="G127" s="10" t="str">
        <f t="shared" si="65"/>
        <v>-</v>
      </c>
      <c r="H127" s="10" t="str">
        <f t="shared" si="65"/>
        <v>-</v>
      </c>
      <c r="I127" s="10" t="str">
        <f t="shared" si="65"/>
        <v>-</v>
      </c>
      <c r="J127" s="10"/>
    </row>
    <row r="128" spans="1:13">
      <c r="A128" s="42">
        <v>19</v>
      </c>
      <c r="B128" s="36">
        <v>44180</v>
      </c>
      <c r="C128" s="1">
        <v>1</v>
      </c>
      <c r="D128" s="1">
        <v>73</v>
      </c>
      <c r="E128" s="1">
        <v>90</v>
      </c>
      <c r="F128" s="1" t="s">
        <v>8</v>
      </c>
      <c r="G128" s="1" t="s">
        <v>8</v>
      </c>
      <c r="H128" s="1" t="s">
        <v>8</v>
      </c>
      <c r="I128" s="1" t="s">
        <v>8</v>
      </c>
      <c r="J128" s="1"/>
      <c r="L128" s="23"/>
      <c r="M128" t="s">
        <v>21</v>
      </c>
    </row>
    <row r="129" spans="1:10">
      <c r="A129" s="42"/>
      <c r="B129" s="36"/>
      <c r="C129" s="1">
        <v>2</v>
      </c>
      <c r="D129" s="1">
        <v>102</v>
      </c>
      <c r="E129" s="1">
        <v>72</v>
      </c>
      <c r="F129" s="1" t="s">
        <v>8</v>
      </c>
      <c r="G129" s="1" t="s">
        <v>8</v>
      </c>
      <c r="H129" s="1" t="s">
        <v>8</v>
      </c>
      <c r="I129" s="1" t="s">
        <v>8</v>
      </c>
      <c r="J129" s="1"/>
    </row>
    <row r="130" spans="1:10">
      <c r="A130" s="42"/>
      <c r="B130" s="36"/>
      <c r="C130" s="1">
        <v>3</v>
      </c>
      <c r="D130" s="1">
        <v>194</v>
      </c>
      <c r="E130" s="1">
        <v>136</v>
      </c>
      <c r="F130" s="1" t="s">
        <v>8</v>
      </c>
      <c r="G130" s="1" t="s">
        <v>8</v>
      </c>
      <c r="H130" s="1" t="s">
        <v>8</v>
      </c>
      <c r="I130" s="1" t="s">
        <v>8</v>
      </c>
      <c r="J130" s="1"/>
    </row>
    <row r="131" spans="1:10">
      <c r="A131" s="42"/>
      <c r="B131" s="36"/>
      <c r="C131" s="1">
        <v>4</v>
      </c>
      <c r="D131" s="1">
        <v>108</v>
      </c>
      <c r="E131" s="1">
        <v>103</v>
      </c>
      <c r="F131" s="1" t="s">
        <v>8</v>
      </c>
      <c r="G131" s="1" t="s">
        <v>8</v>
      </c>
      <c r="H131" s="1" t="s">
        <v>8</v>
      </c>
      <c r="I131" s="1" t="s">
        <v>8</v>
      </c>
      <c r="J131" s="1"/>
    </row>
    <row r="132" spans="1:10">
      <c r="A132" s="42"/>
      <c r="B132" s="36"/>
      <c r="C132" s="1">
        <v>5</v>
      </c>
      <c r="D132" s="1">
        <v>111</v>
      </c>
      <c r="E132" s="1">
        <v>101</v>
      </c>
      <c r="F132" s="1" t="s">
        <v>8</v>
      </c>
      <c r="G132" s="1" t="s">
        <v>8</v>
      </c>
      <c r="H132" s="1" t="s">
        <v>8</v>
      </c>
      <c r="I132" s="1" t="s">
        <v>8</v>
      </c>
      <c r="J132" s="1"/>
    </row>
    <row r="133" spans="1:10">
      <c r="A133" s="42"/>
      <c r="B133" s="36"/>
      <c r="C133" s="1">
        <v>6</v>
      </c>
      <c r="D133" s="1">
        <v>105</v>
      </c>
      <c r="E133" s="1">
        <v>124</v>
      </c>
      <c r="F133" s="1" t="s">
        <v>8</v>
      </c>
      <c r="G133" s="1" t="s">
        <v>8</v>
      </c>
      <c r="H133" s="1" t="s">
        <v>8</v>
      </c>
      <c r="I133" s="1" t="s">
        <v>8</v>
      </c>
      <c r="J133" s="1"/>
    </row>
    <row r="134" spans="1:10">
      <c r="A134" s="42"/>
      <c r="B134" s="36"/>
      <c r="C134" s="7" t="s">
        <v>6</v>
      </c>
      <c r="D134" s="8">
        <f>IF(SUM(D128:D133)=0,"-",SUM(D128:D133))</f>
        <v>693</v>
      </c>
      <c r="E134" s="8">
        <f t="shared" ref="E134:G134" si="66">IF(SUM(E128:E133)=0,"-",SUM(E128:E133))</f>
        <v>626</v>
      </c>
      <c r="F134" s="8" t="str">
        <f t="shared" si="66"/>
        <v>-</v>
      </c>
      <c r="G134" s="8" t="str">
        <f t="shared" si="66"/>
        <v>-</v>
      </c>
      <c r="H134" s="8" t="str">
        <f t="shared" ref="H134:I134" si="67">IF(SUM(H128:H133)=0,"-",SUM(H128:H133))</f>
        <v>-</v>
      </c>
      <c r="I134" s="8" t="str">
        <f t="shared" si="67"/>
        <v>-</v>
      </c>
      <c r="J134" s="8"/>
    </row>
    <row r="135" spans="1:10">
      <c r="A135" s="42"/>
      <c r="B135" s="36"/>
      <c r="C135" s="9" t="s">
        <v>7</v>
      </c>
      <c r="D135" s="10">
        <f>IF(D134="-","-",D134/MAX($C128:$C133))</f>
        <v>115.5</v>
      </c>
      <c r="E135" s="10">
        <f t="shared" ref="E135:G135" si="68">IF(E134="-","-",E134/MAX($C128:$C133))</f>
        <v>104.33333333333333</v>
      </c>
      <c r="F135" s="10" t="str">
        <f t="shared" si="68"/>
        <v>-</v>
      </c>
      <c r="G135" s="10" t="str">
        <f t="shared" si="68"/>
        <v>-</v>
      </c>
      <c r="H135" s="10" t="str">
        <f t="shared" ref="H135:I135" si="69">IF(H134="-","-",H134/MAX($C128:$C133))</f>
        <v>-</v>
      </c>
      <c r="I135" s="10" t="str">
        <f t="shared" si="69"/>
        <v>-</v>
      </c>
      <c r="J135" s="10"/>
    </row>
    <row r="136" spans="1:10">
      <c r="A136" s="41">
        <v>20</v>
      </c>
      <c r="B136" s="43">
        <v>44189</v>
      </c>
      <c r="C136" s="1">
        <v>1</v>
      </c>
      <c r="D136" s="1">
        <v>121</v>
      </c>
      <c r="E136" s="1">
        <v>122</v>
      </c>
      <c r="F136" s="1" t="s">
        <v>8</v>
      </c>
      <c r="G136" s="1">
        <v>116</v>
      </c>
      <c r="H136" s="1" t="s">
        <v>8</v>
      </c>
      <c r="I136" s="1" t="s">
        <v>8</v>
      </c>
      <c r="J136" s="1"/>
    </row>
    <row r="137" spans="1:10">
      <c r="A137" s="41"/>
      <c r="B137" s="44"/>
      <c r="C137" s="1">
        <v>2</v>
      </c>
      <c r="D137" s="1">
        <v>111</v>
      </c>
      <c r="E137" s="1">
        <v>121</v>
      </c>
      <c r="F137" s="1" t="s">
        <v>8</v>
      </c>
      <c r="G137" s="1">
        <v>82</v>
      </c>
      <c r="H137" s="1" t="s">
        <v>8</v>
      </c>
      <c r="I137" s="1" t="s">
        <v>8</v>
      </c>
      <c r="J137" s="1"/>
    </row>
    <row r="138" spans="1:10">
      <c r="A138" s="41"/>
      <c r="B138" s="44"/>
      <c r="C138" s="1">
        <v>3</v>
      </c>
      <c r="D138" s="1">
        <v>100</v>
      </c>
      <c r="E138" s="1">
        <v>136</v>
      </c>
      <c r="F138" s="1" t="s">
        <v>8</v>
      </c>
      <c r="G138" s="1">
        <v>144</v>
      </c>
      <c r="H138" s="1" t="s">
        <v>8</v>
      </c>
      <c r="I138" s="1" t="s">
        <v>8</v>
      </c>
      <c r="J138" s="1"/>
    </row>
    <row r="139" spans="1:10">
      <c r="A139" s="41"/>
      <c r="B139" s="44"/>
      <c r="C139" s="7" t="s">
        <v>6</v>
      </c>
      <c r="D139" s="8">
        <f>IF(SUM(D136:D138)=0,"-",SUM(D136:D138))</f>
        <v>332</v>
      </c>
      <c r="E139" s="8">
        <f t="shared" ref="E139:G139" si="70">IF(SUM(E136:E138)=0,"-",SUM(E136:E138))</f>
        <v>379</v>
      </c>
      <c r="F139" s="8" t="str">
        <f t="shared" si="70"/>
        <v>-</v>
      </c>
      <c r="G139" s="8">
        <f t="shared" si="70"/>
        <v>342</v>
      </c>
      <c r="H139" s="8" t="str">
        <f t="shared" ref="H139:I139" si="71">IF(SUM(H136:H138)=0,"-",SUM(H136:H138))</f>
        <v>-</v>
      </c>
      <c r="I139" s="8" t="str">
        <f t="shared" si="71"/>
        <v>-</v>
      </c>
      <c r="J139" s="8"/>
    </row>
    <row r="140" spans="1:10">
      <c r="A140" s="41"/>
      <c r="B140" s="45"/>
      <c r="C140" s="9" t="s">
        <v>7</v>
      </c>
      <c r="D140" s="10">
        <f>IF(D139="-","-",D139/MAX($C136:$C138))</f>
        <v>110.66666666666667</v>
      </c>
      <c r="E140" s="10">
        <f t="shared" ref="E140:G140" si="72">IF(E139="-","-",E139/MAX($C136:$C138))</f>
        <v>126.33333333333333</v>
      </c>
      <c r="F140" s="10" t="str">
        <f t="shared" si="72"/>
        <v>-</v>
      </c>
      <c r="G140" s="10">
        <f t="shared" si="72"/>
        <v>114</v>
      </c>
      <c r="H140" s="10" t="str">
        <f t="shared" ref="H140:I140" si="73">IF(H139="-","-",H139/MAX($C136:$C138))</f>
        <v>-</v>
      </c>
      <c r="I140" s="10" t="str">
        <f t="shared" si="73"/>
        <v>-</v>
      </c>
      <c r="J140" s="10"/>
    </row>
    <row r="141" spans="1:10">
      <c r="A141" s="41">
        <v>21</v>
      </c>
      <c r="B141" s="36">
        <v>44195</v>
      </c>
      <c r="C141" s="1">
        <v>1</v>
      </c>
      <c r="D141" s="1">
        <v>161</v>
      </c>
      <c r="E141" s="1">
        <v>101</v>
      </c>
      <c r="F141" s="1" t="s">
        <v>8</v>
      </c>
      <c r="G141" s="1">
        <v>109</v>
      </c>
      <c r="H141" s="1" t="s">
        <v>8</v>
      </c>
      <c r="I141" s="1" t="s">
        <v>8</v>
      </c>
      <c r="J141" s="1"/>
    </row>
    <row r="142" spans="1:10">
      <c r="A142" s="41"/>
      <c r="B142" s="36"/>
      <c r="C142" s="1">
        <v>2</v>
      </c>
      <c r="D142" s="1">
        <v>132</v>
      </c>
      <c r="E142" s="1">
        <v>140</v>
      </c>
      <c r="F142" s="1" t="s">
        <v>8</v>
      </c>
      <c r="G142" s="1">
        <v>101</v>
      </c>
      <c r="H142" s="1" t="s">
        <v>8</v>
      </c>
      <c r="I142" s="1" t="s">
        <v>8</v>
      </c>
      <c r="J142" s="1"/>
    </row>
    <row r="143" spans="1:10">
      <c r="A143" s="41"/>
      <c r="B143" s="36"/>
      <c r="C143" s="1">
        <v>3</v>
      </c>
      <c r="D143" s="1">
        <v>99</v>
      </c>
      <c r="E143" s="1">
        <v>113</v>
      </c>
      <c r="F143" s="1" t="s">
        <v>8</v>
      </c>
      <c r="G143" s="1">
        <v>114</v>
      </c>
      <c r="H143" s="1" t="s">
        <v>8</v>
      </c>
      <c r="I143" s="1" t="s">
        <v>8</v>
      </c>
      <c r="J143" s="1"/>
    </row>
    <row r="144" spans="1:10">
      <c r="A144" s="41"/>
      <c r="B144" s="36"/>
      <c r="C144" s="1">
        <v>4</v>
      </c>
      <c r="D144" s="1">
        <v>95</v>
      </c>
      <c r="E144" s="1">
        <v>109</v>
      </c>
      <c r="F144" s="1" t="s">
        <v>8</v>
      </c>
      <c r="G144" s="1">
        <v>116</v>
      </c>
      <c r="H144" s="1" t="s">
        <v>8</v>
      </c>
      <c r="I144" s="1" t="s">
        <v>8</v>
      </c>
      <c r="J144" s="1"/>
    </row>
    <row r="145" spans="1:10">
      <c r="A145" s="41"/>
      <c r="B145" s="36"/>
      <c r="C145" s="1">
        <v>5</v>
      </c>
      <c r="D145" s="1">
        <v>107</v>
      </c>
      <c r="E145" s="1">
        <v>121</v>
      </c>
      <c r="F145" s="1" t="s">
        <v>8</v>
      </c>
      <c r="G145" s="1">
        <v>136</v>
      </c>
      <c r="H145" s="1" t="s">
        <v>8</v>
      </c>
      <c r="I145" s="1" t="s">
        <v>8</v>
      </c>
      <c r="J145" s="1"/>
    </row>
    <row r="146" spans="1:10">
      <c r="A146" s="41"/>
      <c r="B146" s="36"/>
      <c r="C146" s="7" t="s">
        <v>6</v>
      </c>
      <c r="D146" s="8">
        <f t="shared" ref="D146:I146" si="74">IF(SUM(D141:D145)=0,"-",SUM(D141:D145))</f>
        <v>594</v>
      </c>
      <c r="E146" s="8">
        <f t="shared" si="74"/>
        <v>584</v>
      </c>
      <c r="F146" s="8" t="str">
        <f t="shared" si="74"/>
        <v>-</v>
      </c>
      <c r="G146" s="8">
        <f t="shared" si="74"/>
        <v>576</v>
      </c>
      <c r="H146" s="8" t="str">
        <f t="shared" si="74"/>
        <v>-</v>
      </c>
      <c r="I146" s="8" t="str">
        <f t="shared" si="74"/>
        <v>-</v>
      </c>
      <c r="J146" s="8"/>
    </row>
    <row r="147" spans="1:10">
      <c r="A147" s="41"/>
      <c r="B147" s="36"/>
      <c r="C147" s="9" t="s">
        <v>7</v>
      </c>
      <c r="D147" s="10">
        <f t="shared" ref="D147:I147" si="75">IF(D146="-","-",D146/MAX($C141:$C145))</f>
        <v>118.8</v>
      </c>
      <c r="E147" s="10">
        <f t="shared" si="75"/>
        <v>116.8</v>
      </c>
      <c r="F147" s="10" t="str">
        <f t="shared" si="75"/>
        <v>-</v>
      </c>
      <c r="G147" s="10">
        <f t="shared" si="75"/>
        <v>115.2</v>
      </c>
      <c r="H147" s="10" t="str">
        <f t="shared" si="75"/>
        <v>-</v>
      </c>
      <c r="I147" s="10" t="str">
        <f t="shared" si="75"/>
        <v>-</v>
      </c>
      <c r="J147" s="10"/>
    </row>
    <row r="148" spans="1:10">
      <c r="A148" s="41">
        <v>22</v>
      </c>
      <c r="B148" s="36">
        <v>44196</v>
      </c>
      <c r="C148" s="1">
        <v>1</v>
      </c>
      <c r="D148" s="1" t="s">
        <v>8</v>
      </c>
      <c r="E148" s="1">
        <v>186</v>
      </c>
      <c r="F148" s="1" t="s">
        <v>8</v>
      </c>
      <c r="G148" s="1" t="s">
        <v>8</v>
      </c>
      <c r="H148" s="1" t="s">
        <v>8</v>
      </c>
      <c r="I148" s="1" t="s">
        <v>8</v>
      </c>
      <c r="J148" s="1"/>
    </row>
    <row r="149" spans="1:10">
      <c r="A149" s="41"/>
      <c r="B149" s="36"/>
      <c r="C149" s="1">
        <v>2</v>
      </c>
      <c r="D149" s="1" t="s">
        <v>8</v>
      </c>
      <c r="E149" s="1">
        <v>153</v>
      </c>
      <c r="F149" s="1" t="s">
        <v>8</v>
      </c>
      <c r="G149" s="1" t="s">
        <v>8</v>
      </c>
      <c r="H149" s="1" t="s">
        <v>8</v>
      </c>
      <c r="I149" s="1" t="s">
        <v>8</v>
      </c>
      <c r="J149" s="1"/>
    </row>
    <row r="150" spans="1:10">
      <c r="A150" s="41"/>
      <c r="B150" s="36"/>
      <c r="C150" s="1">
        <v>3</v>
      </c>
      <c r="D150" s="1" t="s">
        <v>8</v>
      </c>
      <c r="E150" s="1">
        <v>105</v>
      </c>
      <c r="F150" s="1" t="s">
        <v>8</v>
      </c>
      <c r="G150" s="1" t="s">
        <v>8</v>
      </c>
      <c r="H150" s="1" t="s">
        <v>8</v>
      </c>
      <c r="I150" s="1" t="s">
        <v>8</v>
      </c>
      <c r="J150" s="1"/>
    </row>
    <row r="151" spans="1:10">
      <c r="A151" s="41"/>
      <c r="B151" s="36"/>
      <c r="C151" s="1">
        <v>4</v>
      </c>
      <c r="D151" s="1" t="s">
        <v>8</v>
      </c>
      <c r="E151" s="1">
        <v>114</v>
      </c>
      <c r="F151" s="1" t="s">
        <v>8</v>
      </c>
      <c r="G151" s="1" t="s">
        <v>8</v>
      </c>
      <c r="H151" s="1" t="s">
        <v>8</v>
      </c>
      <c r="I151" s="1" t="s">
        <v>8</v>
      </c>
      <c r="J151" s="1"/>
    </row>
    <row r="152" spans="1:10">
      <c r="A152" s="41"/>
      <c r="B152" s="36"/>
      <c r="C152" s="1">
        <v>5</v>
      </c>
      <c r="D152" s="1" t="s">
        <v>8</v>
      </c>
      <c r="E152" s="1">
        <v>127</v>
      </c>
      <c r="F152" s="1" t="s">
        <v>8</v>
      </c>
      <c r="G152" s="1" t="s">
        <v>8</v>
      </c>
      <c r="H152" s="1" t="s">
        <v>8</v>
      </c>
      <c r="I152" s="1" t="s">
        <v>8</v>
      </c>
      <c r="J152" s="1"/>
    </row>
    <row r="153" spans="1:10">
      <c r="A153" s="41"/>
      <c r="B153" s="36"/>
      <c r="C153" s="1">
        <v>6</v>
      </c>
      <c r="D153" s="1" t="s">
        <v>8</v>
      </c>
      <c r="E153" s="1">
        <v>139</v>
      </c>
      <c r="F153" s="1" t="s">
        <v>8</v>
      </c>
      <c r="G153" s="1" t="s">
        <v>8</v>
      </c>
      <c r="H153" s="1" t="s">
        <v>8</v>
      </c>
      <c r="I153" s="1" t="s">
        <v>8</v>
      </c>
      <c r="J153" s="1"/>
    </row>
    <row r="154" spans="1:10">
      <c r="A154" s="41"/>
      <c r="B154" s="36"/>
      <c r="C154" s="7" t="s">
        <v>6</v>
      </c>
      <c r="D154" s="8" t="str">
        <f>IF(SUM(D148:D153)=0,"-",SUM(D148:D153))</f>
        <v>-</v>
      </c>
      <c r="E154" s="8">
        <f t="shared" ref="E154:G154" si="76">IF(SUM(E148:E153)=0,"-",SUM(E148:E153))</f>
        <v>824</v>
      </c>
      <c r="F154" s="8" t="str">
        <f t="shared" si="76"/>
        <v>-</v>
      </c>
      <c r="G154" s="8" t="str">
        <f t="shared" si="76"/>
        <v>-</v>
      </c>
      <c r="H154" s="8" t="str">
        <f t="shared" ref="H154:I154" si="77">IF(SUM(H148:H153)=0,"-",SUM(H148:H153))</f>
        <v>-</v>
      </c>
      <c r="I154" s="8" t="str">
        <f t="shared" si="77"/>
        <v>-</v>
      </c>
      <c r="J154" s="8"/>
    </row>
    <row r="155" spans="1:10">
      <c r="A155" s="41"/>
      <c r="B155" s="36"/>
      <c r="C155" s="9" t="s">
        <v>7</v>
      </c>
      <c r="D155" s="10" t="str">
        <f>IF(D154="-","-",D154/MAX($C148:$C153))</f>
        <v>-</v>
      </c>
      <c r="E155" s="10">
        <f t="shared" ref="E155:G155" si="78">IF(E154="-","-",E154/MAX($C148:$C153))</f>
        <v>137.33333333333334</v>
      </c>
      <c r="F155" s="10" t="str">
        <f t="shared" si="78"/>
        <v>-</v>
      </c>
      <c r="G155" s="10" t="str">
        <f t="shared" si="78"/>
        <v>-</v>
      </c>
      <c r="H155" s="10" t="str">
        <f t="shared" ref="H155:I155" si="79">IF(H154="-","-",H154/MAX($C148:$C153))</f>
        <v>-</v>
      </c>
      <c r="I155" s="10" t="str">
        <f t="shared" si="79"/>
        <v>-</v>
      </c>
      <c r="J155" s="10"/>
    </row>
    <row r="156" spans="1:10">
      <c r="A156" s="41">
        <v>23</v>
      </c>
      <c r="B156" s="36">
        <v>44202</v>
      </c>
      <c r="C156" s="1">
        <v>1</v>
      </c>
      <c r="D156" s="1">
        <v>98</v>
      </c>
      <c r="E156" s="1">
        <v>98</v>
      </c>
      <c r="F156" s="1" t="s">
        <v>8</v>
      </c>
      <c r="G156" s="1">
        <v>95</v>
      </c>
      <c r="H156" s="1" t="s">
        <v>8</v>
      </c>
      <c r="I156" s="1" t="s">
        <v>8</v>
      </c>
      <c r="J156" s="1"/>
    </row>
    <row r="157" spans="1:10">
      <c r="A157" s="41"/>
      <c r="B157" s="36"/>
      <c r="C157" s="1">
        <v>2</v>
      </c>
      <c r="D157" s="1">
        <v>143</v>
      </c>
      <c r="E157" s="1">
        <v>144</v>
      </c>
      <c r="F157" s="1" t="s">
        <v>8</v>
      </c>
      <c r="G157" s="1">
        <v>82</v>
      </c>
      <c r="H157" s="1" t="s">
        <v>8</v>
      </c>
      <c r="I157" s="1" t="s">
        <v>8</v>
      </c>
      <c r="J157" s="1"/>
    </row>
    <row r="158" spans="1:10">
      <c r="A158" s="41"/>
      <c r="B158" s="36"/>
      <c r="C158" s="1">
        <v>3</v>
      </c>
      <c r="D158" s="1">
        <v>111</v>
      </c>
      <c r="E158" s="1">
        <v>139</v>
      </c>
      <c r="F158" s="1" t="s">
        <v>8</v>
      </c>
      <c r="G158" s="1">
        <v>100</v>
      </c>
      <c r="H158" s="1" t="s">
        <v>8</v>
      </c>
      <c r="I158" s="1" t="s">
        <v>8</v>
      </c>
      <c r="J158" s="1"/>
    </row>
    <row r="159" spans="1:10">
      <c r="A159" s="41"/>
      <c r="B159" s="36"/>
      <c r="C159" s="1">
        <v>4</v>
      </c>
      <c r="D159" s="1">
        <v>104</v>
      </c>
      <c r="E159" s="1">
        <v>160</v>
      </c>
      <c r="F159" s="1" t="s">
        <v>8</v>
      </c>
      <c r="G159" s="1">
        <v>119</v>
      </c>
      <c r="H159" s="1" t="s">
        <v>8</v>
      </c>
      <c r="I159" s="1" t="s">
        <v>8</v>
      </c>
      <c r="J159" s="1"/>
    </row>
    <row r="160" spans="1:10">
      <c r="A160" s="41"/>
      <c r="B160" s="36"/>
      <c r="C160" s="1">
        <v>5</v>
      </c>
      <c r="D160" s="1">
        <v>127</v>
      </c>
      <c r="E160" s="1">
        <v>126</v>
      </c>
      <c r="F160" s="1" t="s">
        <v>8</v>
      </c>
      <c r="G160" s="1">
        <v>98</v>
      </c>
      <c r="H160" s="1" t="s">
        <v>8</v>
      </c>
      <c r="I160" s="1" t="s">
        <v>8</v>
      </c>
      <c r="J160" s="1"/>
    </row>
    <row r="161" spans="1:10">
      <c r="A161" s="41"/>
      <c r="B161" s="36"/>
      <c r="C161" s="7" t="s">
        <v>6</v>
      </c>
      <c r="D161" s="8">
        <f t="shared" ref="D161:I161" si="80">IF(SUM(D156:D160)=0,"-",SUM(D156:D160))</f>
        <v>583</v>
      </c>
      <c r="E161" s="8">
        <f t="shared" si="80"/>
        <v>667</v>
      </c>
      <c r="F161" s="8" t="str">
        <f t="shared" si="80"/>
        <v>-</v>
      </c>
      <c r="G161" s="8">
        <f t="shared" si="80"/>
        <v>494</v>
      </c>
      <c r="H161" s="8" t="str">
        <f t="shared" si="80"/>
        <v>-</v>
      </c>
      <c r="I161" s="8" t="str">
        <f t="shared" si="80"/>
        <v>-</v>
      </c>
      <c r="J161" s="8"/>
    </row>
    <row r="162" spans="1:10">
      <c r="A162" s="41"/>
      <c r="B162" s="36"/>
      <c r="C162" s="9" t="s">
        <v>7</v>
      </c>
      <c r="D162" s="10">
        <f t="shared" ref="D162:I162" si="81">IF(D161="-","-",D161/MAX($C156:$C160))</f>
        <v>116.6</v>
      </c>
      <c r="E162" s="10">
        <f t="shared" si="81"/>
        <v>133.4</v>
      </c>
      <c r="F162" s="10" t="str">
        <f t="shared" si="81"/>
        <v>-</v>
      </c>
      <c r="G162" s="10">
        <f t="shared" si="81"/>
        <v>98.8</v>
      </c>
      <c r="H162" s="10" t="str">
        <f t="shared" si="81"/>
        <v>-</v>
      </c>
      <c r="I162" s="10" t="str">
        <f t="shared" si="81"/>
        <v>-</v>
      </c>
      <c r="J162" s="10"/>
    </row>
    <row r="163" spans="1:10">
      <c r="A163" s="41">
        <v>24</v>
      </c>
      <c r="B163" s="36">
        <v>44206</v>
      </c>
      <c r="C163" s="1">
        <v>1</v>
      </c>
      <c r="D163" s="1">
        <v>133</v>
      </c>
      <c r="E163" s="1">
        <v>107</v>
      </c>
      <c r="F163" s="1" t="s">
        <v>8</v>
      </c>
      <c r="G163" s="1">
        <v>96</v>
      </c>
      <c r="H163" s="1" t="s">
        <v>8</v>
      </c>
      <c r="I163" s="1" t="s">
        <v>8</v>
      </c>
      <c r="J163" s="1"/>
    </row>
    <row r="164" spans="1:10">
      <c r="A164" s="41"/>
      <c r="B164" s="36"/>
      <c r="C164" s="1">
        <v>2</v>
      </c>
      <c r="D164" s="1">
        <v>130</v>
      </c>
      <c r="E164" s="1">
        <v>122</v>
      </c>
      <c r="F164" s="1" t="s">
        <v>8</v>
      </c>
      <c r="G164" s="1">
        <v>100</v>
      </c>
      <c r="H164" s="1" t="s">
        <v>8</v>
      </c>
      <c r="I164" s="1" t="s">
        <v>8</v>
      </c>
      <c r="J164" s="1"/>
    </row>
    <row r="165" spans="1:10">
      <c r="A165" s="41"/>
      <c r="B165" s="36"/>
      <c r="C165" s="1">
        <v>3</v>
      </c>
      <c r="D165" s="1">
        <v>145</v>
      </c>
      <c r="E165" s="1">
        <v>126</v>
      </c>
      <c r="F165" s="1" t="s">
        <v>8</v>
      </c>
      <c r="G165" s="1">
        <v>160</v>
      </c>
      <c r="H165" s="1" t="s">
        <v>8</v>
      </c>
      <c r="I165" s="1" t="s">
        <v>8</v>
      </c>
      <c r="J165" s="1"/>
    </row>
    <row r="166" spans="1:10">
      <c r="A166" s="41"/>
      <c r="B166" s="36"/>
      <c r="C166" s="1">
        <v>4</v>
      </c>
      <c r="D166" s="1">
        <v>140</v>
      </c>
      <c r="E166" s="1">
        <v>131</v>
      </c>
      <c r="F166" s="1" t="s">
        <v>8</v>
      </c>
      <c r="G166" s="1">
        <v>135</v>
      </c>
      <c r="H166" s="1" t="s">
        <v>8</v>
      </c>
      <c r="I166" s="1" t="s">
        <v>8</v>
      </c>
      <c r="J166" s="1"/>
    </row>
    <row r="167" spans="1:10">
      <c r="A167" s="41"/>
      <c r="B167" s="36"/>
      <c r="C167" s="1">
        <v>5</v>
      </c>
      <c r="D167" s="1">
        <v>96</v>
      </c>
      <c r="E167" s="1">
        <v>142</v>
      </c>
      <c r="F167" s="1" t="s">
        <v>8</v>
      </c>
      <c r="G167" s="1">
        <v>144</v>
      </c>
      <c r="H167" s="1" t="s">
        <v>8</v>
      </c>
      <c r="I167" s="1" t="s">
        <v>8</v>
      </c>
      <c r="J167" s="1"/>
    </row>
    <row r="168" spans="1:10">
      <c r="A168" s="41"/>
      <c r="B168" s="36"/>
      <c r="C168" s="1">
        <v>6</v>
      </c>
      <c r="D168" s="1">
        <v>145</v>
      </c>
      <c r="E168" s="1">
        <v>167</v>
      </c>
      <c r="F168" s="1" t="s">
        <v>8</v>
      </c>
      <c r="G168" s="1">
        <v>111</v>
      </c>
      <c r="H168" s="1" t="s">
        <v>8</v>
      </c>
      <c r="I168" s="1" t="s">
        <v>8</v>
      </c>
      <c r="J168" s="1"/>
    </row>
    <row r="169" spans="1:10">
      <c r="A169" s="41"/>
      <c r="B169" s="36"/>
      <c r="C169" s="1">
        <v>7</v>
      </c>
      <c r="D169" s="1">
        <v>103</v>
      </c>
      <c r="E169" s="1">
        <v>108</v>
      </c>
      <c r="F169" s="1"/>
      <c r="G169" s="1">
        <v>109</v>
      </c>
      <c r="H169" s="1"/>
      <c r="I169" s="1"/>
      <c r="J169" s="1"/>
    </row>
    <row r="170" spans="1:10">
      <c r="A170" s="41"/>
      <c r="B170" s="36"/>
      <c r="C170" s="7" t="s">
        <v>6</v>
      </c>
      <c r="D170" s="8">
        <f t="shared" ref="D170:I170" si="82">IF(SUM(D163:D169)=0,"-",SUM(D163:D168))</f>
        <v>789</v>
      </c>
      <c r="E170" s="8">
        <f t="shared" si="82"/>
        <v>795</v>
      </c>
      <c r="F170" s="8" t="str">
        <f t="shared" si="82"/>
        <v>-</v>
      </c>
      <c r="G170" s="8">
        <f t="shared" si="82"/>
        <v>746</v>
      </c>
      <c r="H170" s="8" t="str">
        <f t="shared" si="82"/>
        <v>-</v>
      </c>
      <c r="I170" s="8" t="str">
        <f t="shared" si="82"/>
        <v>-</v>
      </c>
      <c r="J170" s="8"/>
    </row>
    <row r="171" spans="1:10">
      <c r="A171" s="41"/>
      <c r="B171" s="36"/>
      <c r="C171" s="9" t="s">
        <v>7</v>
      </c>
      <c r="D171" s="10">
        <f t="shared" ref="D171:I171" si="83">IF(D170="-","-",D170/MAX($C163:$C169))</f>
        <v>112.71428571428571</v>
      </c>
      <c r="E171" s="10">
        <f t="shared" si="83"/>
        <v>113.57142857142857</v>
      </c>
      <c r="F171" s="10" t="str">
        <f t="shared" si="83"/>
        <v>-</v>
      </c>
      <c r="G171" s="10">
        <f t="shared" si="83"/>
        <v>106.57142857142857</v>
      </c>
      <c r="H171" s="10" t="str">
        <f t="shared" si="83"/>
        <v>-</v>
      </c>
      <c r="I171" s="10" t="str">
        <f t="shared" si="83"/>
        <v>-</v>
      </c>
      <c r="J171" s="10"/>
    </row>
    <row r="172" spans="1:10">
      <c r="A172" s="41">
        <v>25</v>
      </c>
      <c r="B172" s="36">
        <v>44209</v>
      </c>
      <c r="C172" s="1">
        <v>1</v>
      </c>
      <c r="D172" s="1">
        <v>73</v>
      </c>
      <c r="E172" s="1">
        <v>104</v>
      </c>
      <c r="F172" s="1" t="s">
        <v>8</v>
      </c>
      <c r="G172" s="1">
        <v>102</v>
      </c>
      <c r="H172" s="1" t="s">
        <v>8</v>
      </c>
      <c r="I172" s="1" t="s">
        <v>8</v>
      </c>
      <c r="J172" s="1"/>
    </row>
    <row r="173" spans="1:10">
      <c r="A173" s="41"/>
      <c r="B173" s="36"/>
      <c r="C173" s="1">
        <v>2</v>
      </c>
      <c r="D173" s="1">
        <v>124</v>
      </c>
      <c r="E173" s="1">
        <v>135</v>
      </c>
      <c r="F173" s="1" t="s">
        <v>8</v>
      </c>
      <c r="G173" s="1">
        <v>123</v>
      </c>
      <c r="H173" s="1" t="s">
        <v>8</v>
      </c>
      <c r="I173" s="1" t="s">
        <v>8</v>
      </c>
      <c r="J173" s="1"/>
    </row>
    <row r="174" spans="1:10">
      <c r="A174" s="41"/>
      <c r="B174" s="36"/>
      <c r="C174" s="1">
        <v>3</v>
      </c>
      <c r="D174" s="1">
        <v>121</v>
      </c>
      <c r="E174" s="1">
        <v>110</v>
      </c>
      <c r="F174" s="1" t="s">
        <v>8</v>
      </c>
      <c r="G174" s="1">
        <v>106</v>
      </c>
      <c r="H174" s="1" t="s">
        <v>8</v>
      </c>
      <c r="I174" s="1" t="s">
        <v>8</v>
      </c>
      <c r="J174" s="1"/>
    </row>
    <row r="175" spans="1:10">
      <c r="A175" s="41"/>
      <c r="B175" s="36"/>
      <c r="C175" s="1">
        <v>4</v>
      </c>
      <c r="D175" s="1">
        <v>95</v>
      </c>
      <c r="E175" s="1">
        <v>116</v>
      </c>
      <c r="F175" s="1" t="s">
        <v>8</v>
      </c>
      <c r="G175" s="1">
        <v>129</v>
      </c>
      <c r="H175" s="1" t="s">
        <v>8</v>
      </c>
      <c r="I175" s="1" t="s">
        <v>8</v>
      </c>
      <c r="J175" s="1"/>
    </row>
    <row r="176" spans="1:10">
      <c r="A176" s="41"/>
      <c r="B176" s="36"/>
      <c r="C176" s="1">
        <v>5</v>
      </c>
      <c r="D176" s="1">
        <v>113</v>
      </c>
      <c r="E176" s="1">
        <v>90</v>
      </c>
      <c r="F176" s="1" t="s">
        <v>8</v>
      </c>
      <c r="G176" s="1">
        <v>104</v>
      </c>
      <c r="H176" s="1" t="s">
        <v>8</v>
      </c>
      <c r="I176" s="1" t="s">
        <v>8</v>
      </c>
      <c r="J176" s="1"/>
    </row>
    <row r="177" spans="1:10">
      <c r="A177" s="41"/>
      <c r="B177" s="36"/>
      <c r="C177" s="7" t="s">
        <v>6</v>
      </c>
      <c r="D177" s="8">
        <f t="shared" ref="D177:I177" si="84">IF(SUM(D172:D176)=0,"-",SUM(D172:D176))</f>
        <v>526</v>
      </c>
      <c r="E177" s="8">
        <f t="shared" si="84"/>
        <v>555</v>
      </c>
      <c r="F177" s="8" t="str">
        <f t="shared" si="84"/>
        <v>-</v>
      </c>
      <c r="G177" s="8">
        <f t="shared" si="84"/>
        <v>564</v>
      </c>
      <c r="H177" s="8" t="str">
        <f t="shared" si="84"/>
        <v>-</v>
      </c>
      <c r="I177" s="8" t="str">
        <f t="shared" si="84"/>
        <v>-</v>
      </c>
      <c r="J177" s="8"/>
    </row>
    <row r="178" spans="1:10">
      <c r="A178" s="41"/>
      <c r="B178" s="36"/>
      <c r="C178" s="9" t="s">
        <v>7</v>
      </c>
      <c r="D178" s="10">
        <f t="shared" ref="D178:I178" si="85">IF(D177="-","-",D177/MAX($C172:$C176))</f>
        <v>105.2</v>
      </c>
      <c r="E178" s="10">
        <f t="shared" si="85"/>
        <v>111</v>
      </c>
      <c r="F178" s="10" t="str">
        <f t="shared" si="85"/>
        <v>-</v>
      </c>
      <c r="G178" s="10">
        <f t="shared" si="85"/>
        <v>112.8</v>
      </c>
      <c r="H178" s="10" t="str">
        <f t="shared" si="85"/>
        <v>-</v>
      </c>
      <c r="I178" s="10" t="str">
        <f t="shared" si="85"/>
        <v>-</v>
      </c>
      <c r="J178" s="10"/>
    </row>
    <row r="179" spans="1:10">
      <c r="A179" s="41">
        <v>26</v>
      </c>
      <c r="B179" s="36">
        <v>44223</v>
      </c>
      <c r="C179" s="1">
        <v>1</v>
      </c>
      <c r="D179" s="1">
        <v>145</v>
      </c>
      <c r="E179" s="1">
        <v>112</v>
      </c>
      <c r="F179" s="1" t="s">
        <v>8</v>
      </c>
      <c r="G179" s="1">
        <v>91</v>
      </c>
      <c r="H179" s="1" t="s">
        <v>8</v>
      </c>
      <c r="I179" s="1" t="s">
        <v>8</v>
      </c>
      <c r="J179" s="1"/>
    </row>
    <row r="180" spans="1:10">
      <c r="A180" s="41"/>
      <c r="B180" s="36"/>
      <c r="C180" s="1">
        <v>2</v>
      </c>
      <c r="D180" s="1">
        <v>124</v>
      </c>
      <c r="E180" s="1">
        <v>133</v>
      </c>
      <c r="F180" s="1" t="s">
        <v>8</v>
      </c>
      <c r="G180" s="1">
        <v>110</v>
      </c>
      <c r="H180" s="1" t="s">
        <v>8</v>
      </c>
      <c r="I180" s="1" t="s">
        <v>8</v>
      </c>
      <c r="J180" s="1"/>
    </row>
    <row r="181" spans="1:10">
      <c r="A181" s="41"/>
      <c r="B181" s="36"/>
      <c r="C181" s="1">
        <v>3</v>
      </c>
      <c r="D181" s="1">
        <v>142</v>
      </c>
      <c r="E181" s="1">
        <v>158</v>
      </c>
      <c r="F181" s="1" t="s">
        <v>8</v>
      </c>
      <c r="G181" s="1">
        <v>85</v>
      </c>
      <c r="H181" s="1" t="s">
        <v>8</v>
      </c>
      <c r="I181" s="1" t="s">
        <v>8</v>
      </c>
      <c r="J181" s="1"/>
    </row>
    <row r="182" spans="1:10">
      <c r="A182" s="41"/>
      <c r="B182" s="36"/>
      <c r="C182" s="1">
        <v>4</v>
      </c>
      <c r="D182" s="1">
        <v>142</v>
      </c>
      <c r="E182" s="1">
        <v>129</v>
      </c>
      <c r="F182" s="1" t="s">
        <v>8</v>
      </c>
      <c r="G182" s="1">
        <v>106</v>
      </c>
      <c r="H182" s="1" t="s">
        <v>8</v>
      </c>
      <c r="I182" s="1" t="s">
        <v>8</v>
      </c>
      <c r="J182" s="1"/>
    </row>
    <row r="183" spans="1:10">
      <c r="A183" s="41"/>
      <c r="B183" s="36"/>
      <c r="C183" s="1">
        <v>5</v>
      </c>
      <c r="D183" s="1">
        <v>102</v>
      </c>
      <c r="E183" s="1">
        <v>156</v>
      </c>
      <c r="F183" s="1" t="s">
        <v>8</v>
      </c>
      <c r="G183" s="1">
        <v>100</v>
      </c>
      <c r="H183" s="1" t="s">
        <v>8</v>
      </c>
      <c r="I183" s="1" t="s">
        <v>8</v>
      </c>
      <c r="J183" s="1"/>
    </row>
    <row r="184" spans="1:10">
      <c r="A184" s="41"/>
      <c r="B184" s="36"/>
      <c r="C184" s="7" t="s">
        <v>6</v>
      </c>
      <c r="D184" s="8">
        <f t="shared" ref="D184:I184" si="86">IF(SUM(D179:D183)=0,"-",SUM(D179:D183))</f>
        <v>655</v>
      </c>
      <c r="E184" s="8">
        <f t="shared" si="86"/>
        <v>688</v>
      </c>
      <c r="F184" s="8" t="str">
        <f t="shared" si="86"/>
        <v>-</v>
      </c>
      <c r="G184" s="8">
        <f t="shared" si="86"/>
        <v>492</v>
      </c>
      <c r="H184" s="8" t="str">
        <f t="shared" si="86"/>
        <v>-</v>
      </c>
      <c r="I184" s="8" t="str">
        <f t="shared" si="86"/>
        <v>-</v>
      </c>
      <c r="J184" s="8"/>
    </row>
    <row r="185" spans="1:10">
      <c r="A185" s="41"/>
      <c r="B185" s="36"/>
      <c r="C185" s="9" t="s">
        <v>7</v>
      </c>
      <c r="D185" s="10">
        <f t="shared" ref="D185:I185" si="87">IF(D184="-","-",D184/MAX($C179:$C183))</f>
        <v>131</v>
      </c>
      <c r="E185" s="10">
        <f t="shared" si="87"/>
        <v>137.6</v>
      </c>
      <c r="F185" s="10" t="str">
        <f t="shared" si="87"/>
        <v>-</v>
      </c>
      <c r="G185" s="10">
        <f t="shared" si="87"/>
        <v>98.4</v>
      </c>
      <c r="H185" s="10" t="str">
        <f t="shared" si="87"/>
        <v>-</v>
      </c>
      <c r="I185" s="10" t="str">
        <f t="shared" si="87"/>
        <v>-</v>
      </c>
      <c r="J185" s="10"/>
    </row>
    <row r="186" spans="1:10">
      <c r="A186" s="41">
        <v>27</v>
      </c>
      <c r="B186" s="36">
        <v>44230</v>
      </c>
      <c r="C186" s="1">
        <v>1</v>
      </c>
      <c r="D186" s="1">
        <v>125</v>
      </c>
      <c r="E186" s="1">
        <v>158</v>
      </c>
      <c r="F186" s="1" t="s">
        <v>8</v>
      </c>
      <c r="G186" s="1">
        <v>120</v>
      </c>
      <c r="H186" s="1" t="s">
        <v>8</v>
      </c>
      <c r="I186" s="1" t="s">
        <v>8</v>
      </c>
      <c r="J186" s="1"/>
    </row>
    <row r="187" spans="1:10">
      <c r="A187" s="41"/>
      <c r="B187" s="36"/>
      <c r="C187" s="1">
        <v>2</v>
      </c>
      <c r="D187" s="1">
        <v>132</v>
      </c>
      <c r="E187" s="1">
        <v>137</v>
      </c>
      <c r="F187" s="1" t="s">
        <v>8</v>
      </c>
      <c r="G187" s="1">
        <v>152</v>
      </c>
      <c r="H187" s="1" t="s">
        <v>8</v>
      </c>
      <c r="I187" s="1" t="s">
        <v>8</v>
      </c>
      <c r="J187" s="1"/>
    </row>
    <row r="188" spans="1:10">
      <c r="A188" s="41"/>
      <c r="B188" s="36"/>
      <c r="C188" s="1">
        <v>3</v>
      </c>
      <c r="D188" s="1">
        <v>110</v>
      </c>
      <c r="E188" s="1">
        <v>146</v>
      </c>
      <c r="F188" s="1" t="s">
        <v>8</v>
      </c>
      <c r="G188" s="1">
        <v>125</v>
      </c>
      <c r="H188" s="1" t="s">
        <v>8</v>
      </c>
      <c r="I188" s="1" t="s">
        <v>8</v>
      </c>
      <c r="J188" s="1"/>
    </row>
    <row r="189" spans="1:10">
      <c r="A189" s="41"/>
      <c r="B189" s="36"/>
      <c r="C189" s="1">
        <v>4</v>
      </c>
      <c r="D189" s="1">
        <v>118</v>
      </c>
      <c r="E189" s="1">
        <v>176</v>
      </c>
      <c r="F189" s="1" t="s">
        <v>8</v>
      </c>
      <c r="G189" s="1">
        <v>106</v>
      </c>
      <c r="H189" s="1" t="s">
        <v>8</v>
      </c>
      <c r="I189" s="1" t="s">
        <v>8</v>
      </c>
      <c r="J189" s="1"/>
    </row>
    <row r="190" spans="1:10">
      <c r="A190" s="41"/>
      <c r="B190" s="36"/>
      <c r="C190" s="1">
        <v>5</v>
      </c>
      <c r="D190" s="1">
        <v>141</v>
      </c>
      <c r="E190" s="1">
        <v>143</v>
      </c>
      <c r="F190" s="1" t="s">
        <v>8</v>
      </c>
      <c r="G190" s="1">
        <v>107</v>
      </c>
      <c r="H190" s="1" t="s">
        <v>8</v>
      </c>
      <c r="I190" s="1" t="s">
        <v>8</v>
      </c>
      <c r="J190" s="1"/>
    </row>
    <row r="191" spans="1:10">
      <c r="A191" s="41"/>
      <c r="B191" s="36"/>
      <c r="C191" s="7" t="s">
        <v>6</v>
      </c>
      <c r="D191" s="8">
        <f t="shared" ref="D191:I191" si="88">IF(SUM(D186:D190)=0,"-",SUM(D186:D190))</f>
        <v>626</v>
      </c>
      <c r="E191" s="8">
        <f t="shared" si="88"/>
        <v>760</v>
      </c>
      <c r="F191" s="8" t="str">
        <f t="shared" si="88"/>
        <v>-</v>
      </c>
      <c r="G191" s="8">
        <f t="shared" si="88"/>
        <v>610</v>
      </c>
      <c r="H191" s="8" t="str">
        <f t="shared" si="88"/>
        <v>-</v>
      </c>
      <c r="I191" s="8" t="str">
        <f t="shared" si="88"/>
        <v>-</v>
      </c>
      <c r="J191" s="8"/>
    </row>
    <row r="192" spans="1:10">
      <c r="A192" s="41"/>
      <c r="B192" s="36"/>
      <c r="C192" s="9" t="s">
        <v>7</v>
      </c>
      <c r="D192" s="10">
        <f t="shared" ref="D192:I192" si="89">IF(D191="-","-",D191/MAX($C186:$C190))</f>
        <v>125.2</v>
      </c>
      <c r="E192" s="10">
        <f t="shared" si="89"/>
        <v>152</v>
      </c>
      <c r="F192" s="10" t="str">
        <f t="shared" si="89"/>
        <v>-</v>
      </c>
      <c r="G192" s="10">
        <f t="shared" si="89"/>
        <v>122</v>
      </c>
      <c r="H192" s="10" t="str">
        <f t="shared" si="89"/>
        <v>-</v>
      </c>
      <c r="I192" s="10" t="str">
        <f t="shared" si="89"/>
        <v>-</v>
      </c>
      <c r="J192" s="10"/>
    </row>
    <row r="193" spans="1:10">
      <c r="A193" s="35" t="s">
        <v>18</v>
      </c>
      <c r="B193" s="36">
        <v>44246</v>
      </c>
      <c r="C193" s="1">
        <v>1</v>
      </c>
      <c r="D193" s="1">
        <v>108</v>
      </c>
      <c r="E193" s="1">
        <v>155</v>
      </c>
      <c r="F193" s="1" t="s">
        <v>8</v>
      </c>
      <c r="G193" s="1" t="s">
        <v>8</v>
      </c>
      <c r="H193" s="1" t="s">
        <v>8</v>
      </c>
      <c r="I193" s="1" t="s">
        <v>8</v>
      </c>
      <c r="J193" s="1"/>
    </row>
    <row r="194" spans="1:10">
      <c r="A194" s="35"/>
      <c r="B194" s="36"/>
      <c r="C194" s="1">
        <v>2</v>
      </c>
      <c r="D194" s="1">
        <v>125</v>
      </c>
      <c r="E194" s="1">
        <v>142</v>
      </c>
      <c r="F194" s="1" t="s">
        <v>8</v>
      </c>
      <c r="G194" s="1" t="s">
        <v>8</v>
      </c>
      <c r="H194" s="1" t="s">
        <v>8</v>
      </c>
      <c r="I194" s="1" t="s">
        <v>8</v>
      </c>
      <c r="J194" s="1"/>
    </row>
    <row r="195" spans="1:10">
      <c r="A195" s="35"/>
      <c r="B195" s="36"/>
      <c r="C195" s="7" t="s">
        <v>6</v>
      </c>
      <c r="D195" s="8">
        <f t="shared" ref="D195:I195" si="90">IF(SUM(D193:D194)=0,"-",SUM(D193:D194))</f>
        <v>233</v>
      </c>
      <c r="E195" s="8">
        <f t="shared" si="90"/>
        <v>297</v>
      </c>
      <c r="F195" s="8" t="str">
        <f t="shared" si="90"/>
        <v>-</v>
      </c>
      <c r="G195" s="8" t="str">
        <f t="shared" si="90"/>
        <v>-</v>
      </c>
      <c r="H195" s="8" t="str">
        <f t="shared" si="90"/>
        <v>-</v>
      </c>
      <c r="I195" s="8" t="str">
        <f t="shared" si="90"/>
        <v>-</v>
      </c>
      <c r="J195" s="8"/>
    </row>
    <row r="196" spans="1:10">
      <c r="A196" s="35"/>
      <c r="B196" s="36"/>
      <c r="C196" s="9" t="s">
        <v>7</v>
      </c>
      <c r="D196" s="10">
        <f t="shared" ref="D196:I196" si="91">IF(D195="-","-",D195/MAX($C193:$C194))</f>
        <v>116.5</v>
      </c>
      <c r="E196" s="10">
        <f t="shared" si="91"/>
        <v>148.5</v>
      </c>
      <c r="F196" s="10" t="str">
        <f t="shared" si="91"/>
        <v>-</v>
      </c>
      <c r="G196" s="10" t="str">
        <f t="shared" si="91"/>
        <v>-</v>
      </c>
      <c r="H196" s="10" t="str">
        <f t="shared" si="91"/>
        <v>-</v>
      </c>
      <c r="I196" s="10" t="str">
        <f t="shared" si="91"/>
        <v>-</v>
      </c>
      <c r="J196" s="10"/>
    </row>
    <row r="197" spans="1:10">
      <c r="A197" s="35" t="s">
        <v>19</v>
      </c>
      <c r="B197" s="36">
        <v>44246</v>
      </c>
      <c r="C197" s="1">
        <v>1</v>
      </c>
      <c r="D197" s="1">
        <v>95</v>
      </c>
      <c r="E197" s="1">
        <v>122</v>
      </c>
      <c r="F197" s="1" t="s">
        <v>8</v>
      </c>
      <c r="G197" s="1">
        <v>137</v>
      </c>
      <c r="H197" s="26" t="s">
        <v>8</v>
      </c>
      <c r="I197" s="26" t="s">
        <v>8</v>
      </c>
      <c r="J197" s="26"/>
    </row>
    <row r="198" spans="1:10">
      <c r="A198" s="35"/>
      <c r="B198" s="36"/>
      <c r="C198" s="1">
        <v>2</v>
      </c>
      <c r="D198" s="1">
        <v>134</v>
      </c>
      <c r="E198" s="1">
        <v>156</v>
      </c>
      <c r="F198" s="1" t="s">
        <v>8</v>
      </c>
      <c r="G198" s="1">
        <v>143</v>
      </c>
      <c r="H198" s="26" t="s">
        <v>8</v>
      </c>
      <c r="I198" s="26" t="s">
        <v>8</v>
      </c>
      <c r="J198" s="26"/>
    </row>
    <row r="199" spans="1:10">
      <c r="A199" s="35"/>
      <c r="B199" s="36"/>
      <c r="C199" s="1">
        <v>3</v>
      </c>
      <c r="D199" s="1">
        <v>136</v>
      </c>
      <c r="E199" s="1">
        <v>148</v>
      </c>
      <c r="F199" s="1" t="s">
        <v>8</v>
      </c>
      <c r="G199" s="1">
        <v>138</v>
      </c>
      <c r="H199" s="26" t="s">
        <v>8</v>
      </c>
      <c r="I199" s="26" t="s">
        <v>8</v>
      </c>
      <c r="J199" s="26"/>
    </row>
    <row r="200" spans="1:10">
      <c r="A200" s="35"/>
      <c r="B200" s="36"/>
      <c r="C200" s="1">
        <v>4</v>
      </c>
      <c r="D200" s="1">
        <v>129</v>
      </c>
      <c r="E200" s="1">
        <v>125</v>
      </c>
      <c r="F200" s="1" t="s">
        <v>8</v>
      </c>
      <c r="G200" s="1">
        <v>130</v>
      </c>
      <c r="H200" s="26" t="s">
        <v>8</v>
      </c>
      <c r="I200" s="26" t="s">
        <v>8</v>
      </c>
      <c r="J200" s="26"/>
    </row>
    <row r="201" spans="1:10">
      <c r="A201" s="35"/>
      <c r="B201" s="36"/>
      <c r="C201" s="1">
        <v>5</v>
      </c>
      <c r="D201" s="1">
        <v>145</v>
      </c>
      <c r="E201" s="1">
        <v>130</v>
      </c>
      <c r="F201" s="1" t="s">
        <v>8</v>
      </c>
      <c r="G201" s="1">
        <v>109</v>
      </c>
      <c r="H201" s="26" t="s">
        <v>8</v>
      </c>
      <c r="I201" s="26" t="s">
        <v>8</v>
      </c>
      <c r="J201" s="26"/>
    </row>
    <row r="202" spans="1:10">
      <c r="A202" s="35"/>
      <c r="B202" s="36"/>
      <c r="C202" s="7" t="s">
        <v>6</v>
      </c>
      <c r="D202" s="8">
        <f t="shared" ref="D202:I202" si="92">IF(SUM(D197:D201)=0,"-",SUM(D197:D201))</f>
        <v>639</v>
      </c>
      <c r="E202" s="8">
        <f t="shared" si="92"/>
        <v>681</v>
      </c>
      <c r="F202" s="8" t="str">
        <f t="shared" si="92"/>
        <v>-</v>
      </c>
      <c r="G202" s="8">
        <f t="shared" si="92"/>
        <v>657</v>
      </c>
      <c r="H202" s="8" t="str">
        <f t="shared" si="92"/>
        <v>-</v>
      </c>
      <c r="I202" s="8" t="str">
        <f t="shared" si="92"/>
        <v>-</v>
      </c>
      <c r="J202" s="8"/>
    </row>
    <row r="203" spans="1:10">
      <c r="A203" s="35"/>
      <c r="B203" s="36"/>
      <c r="C203" s="9" t="s">
        <v>7</v>
      </c>
      <c r="D203" s="10">
        <f t="shared" ref="D203:I203" si="93">IF(D202="-","-",D202/MAX($C197:$C201))</f>
        <v>127.8</v>
      </c>
      <c r="E203" s="10">
        <f t="shared" si="93"/>
        <v>136.19999999999999</v>
      </c>
      <c r="F203" s="10" t="str">
        <f t="shared" si="93"/>
        <v>-</v>
      </c>
      <c r="G203" s="10">
        <f t="shared" si="93"/>
        <v>131.4</v>
      </c>
      <c r="H203" s="10" t="str">
        <f t="shared" si="93"/>
        <v>-</v>
      </c>
      <c r="I203" s="10" t="str">
        <f t="shared" si="93"/>
        <v>-</v>
      </c>
      <c r="J203" s="10"/>
    </row>
    <row r="204" spans="1:10">
      <c r="A204" s="41">
        <v>29</v>
      </c>
      <c r="B204" s="36">
        <v>44260</v>
      </c>
      <c r="C204" s="1">
        <v>1</v>
      </c>
      <c r="D204" s="1">
        <v>112</v>
      </c>
      <c r="E204" s="1">
        <v>122</v>
      </c>
      <c r="F204" s="1" t="s">
        <v>8</v>
      </c>
      <c r="G204" s="1" t="s">
        <v>8</v>
      </c>
      <c r="H204" s="1" t="s">
        <v>8</v>
      </c>
      <c r="I204" s="1" t="s">
        <v>8</v>
      </c>
      <c r="J204" s="1"/>
    </row>
    <row r="205" spans="1:10">
      <c r="A205" s="41"/>
      <c r="B205" s="36"/>
      <c r="C205" s="1">
        <v>2</v>
      </c>
      <c r="D205" s="1">
        <v>157</v>
      </c>
      <c r="E205" s="1">
        <v>133</v>
      </c>
      <c r="F205" s="1" t="s">
        <v>8</v>
      </c>
      <c r="G205" s="1" t="s">
        <v>8</v>
      </c>
      <c r="H205" s="1" t="s">
        <v>8</v>
      </c>
      <c r="I205" s="1" t="s">
        <v>8</v>
      </c>
      <c r="J205" s="1"/>
    </row>
    <row r="206" spans="1:10">
      <c r="A206" s="41"/>
      <c r="B206" s="36"/>
      <c r="C206" s="1">
        <v>3</v>
      </c>
      <c r="D206" s="1">
        <v>155</v>
      </c>
      <c r="E206" s="1">
        <v>145</v>
      </c>
      <c r="F206" s="1" t="s">
        <v>8</v>
      </c>
      <c r="G206" s="1" t="s">
        <v>8</v>
      </c>
      <c r="H206" s="1" t="s">
        <v>8</v>
      </c>
      <c r="I206" s="1" t="s">
        <v>8</v>
      </c>
      <c r="J206" s="1"/>
    </row>
    <row r="207" spans="1:10">
      <c r="A207" s="41"/>
      <c r="B207" s="36"/>
      <c r="C207" s="1">
        <v>4</v>
      </c>
      <c r="D207" s="1">
        <v>138</v>
      </c>
      <c r="E207" s="1">
        <v>103</v>
      </c>
      <c r="F207" s="1" t="s">
        <v>8</v>
      </c>
      <c r="G207" s="1" t="s">
        <v>8</v>
      </c>
      <c r="H207" s="1" t="s">
        <v>8</v>
      </c>
      <c r="I207" s="1" t="s">
        <v>8</v>
      </c>
      <c r="J207" s="1"/>
    </row>
    <row r="208" spans="1:10">
      <c r="A208" s="41"/>
      <c r="B208" s="36"/>
      <c r="C208" s="1">
        <v>5</v>
      </c>
      <c r="D208" s="1">
        <v>134</v>
      </c>
      <c r="E208" s="1">
        <v>136</v>
      </c>
      <c r="F208" s="1" t="s">
        <v>8</v>
      </c>
      <c r="G208" s="1" t="s">
        <v>8</v>
      </c>
      <c r="H208" s="1" t="s">
        <v>8</v>
      </c>
      <c r="I208" s="1" t="s">
        <v>8</v>
      </c>
      <c r="J208" s="1"/>
    </row>
    <row r="209" spans="1:10">
      <c r="A209" s="41"/>
      <c r="B209" s="36"/>
      <c r="C209" s="1">
        <v>6</v>
      </c>
      <c r="D209" s="1">
        <v>85</v>
      </c>
      <c r="E209" s="1">
        <v>140</v>
      </c>
      <c r="F209" s="1" t="s">
        <v>8</v>
      </c>
      <c r="G209" s="1" t="s">
        <v>8</v>
      </c>
      <c r="H209" s="1" t="s">
        <v>8</v>
      </c>
      <c r="I209" s="1" t="s">
        <v>8</v>
      </c>
      <c r="J209" s="1"/>
    </row>
    <row r="210" spans="1:10">
      <c r="A210" s="41"/>
      <c r="B210" s="36"/>
      <c r="C210" s="7" t="s">
        <v>6</v>
      </c>
      <c r="D210" s="8">
        <f>IF(SUM(D204:D209)=0,"-",SUM(D204:D209))</f>
        <v>781</v>
      </c>
      <c r="E210" s="8">
        <f t="shared" ref="E210:G210" si="94">IF(SUM(E204:E209)=0,"-",SUM(E204:E209))</f>
        <v>779</v>
      </c>
      <c r="F210" s="8" t="str">
        <f t="shared" si="94"/>
        <v>-</v>
      </c>
      <c r="G210" s="8" t="str">
        <f t="shared" si="94"/>
        <v>-</v>
      </c>
      <c r="H210" s="8" t="str">
        <f t="shared" ref="H210:I210" si="95">IF(SUM(H204:H209)=0,"-",SUM(H204:H209))</f>
        <v>-</v>
      </c>
      <c r="I210" s="8" t="str">
        <f t="shared" si="95"/>
        <v>-</v>
      </c>
      <c r="J210" s="8"/>
    </row>
    <row r="211" spans="1:10">
      <c r="A211" s="41"/>
      <c r="B211" s="36"/>
      <c r="C211" s="9" t="s">
        <v>7</v>
      </c>
      <c r="D211" s="10">
        <f>IF(D210="-","-",D210/MAX($C204:$C209))</f>
        <v>130.16666666666666</v>
      </c>
      <c r="E211" s="10">
        <f t="shared" ref="E211:G211" si="96">IF(E210="-","-",E210/MAX($C204:$C209))</f>
        <v>129.83333333333334</v>
      </c>
      <c r="F211" s="10" t="str">
        <f t="shared" si="96"/>
        <v>-</v>
      </c>
      <c r="G211" s="10" t="str">
        <f t="shared" si="96"/>
        <v>-</v>
      </c>
      <c r="H211" s="10" t="str">
        <f t="shared" ref="H211:I211" si="97">IF(H210="-","-",H210/MAX($C204:$C209))</f>
        <v>-</v>
      </c>
      <c r="I211" s="10" t="str">
        <f t="shared" si="97"/>
        <v>-</v>
      </c>
      <c r="J211" s="10"/>
    </row>
    <row r="212" spans="1:10">
      <c r="A212" s="41">
        <v>30</v>
      </c>
      <c r="B212" s="36">
        <v>44267</v>
      </c>
      <c r="C212" s="1">
        <v>1</v>
      </c>
      <c r="D212" s="1">
        <v>157</v>
      </c>
      <c r="E212" s="1">
        <v>125</v>
      </c>
      <c r="F212" s="1" t="s">
        <v>8</v>
      </c>
      <c r="G212" s="1" t="s">
        <v>8</v>
      </c>
      <c r="H212" s="1" t="s">
        <v>8</v>
      </c>
      <c r="I212" s="1" t="s">
        <v>8</v>
      </c>
      <c r="J212" s="1"/>
    </row>
    <row r="213" spans="1:10">
      <c r="A213" s="41"/>
      <c r="B213" s="36"/>
      <c r="C213" s="1">
        <v>2</v>
      </c>
      <c r="D213" s="1">
        <v>108</v>
      </c>
      <c r="E213" s="1">
        <v>107</v>
      </c>
      <c r="F213" s="1" t="s">
        <v>8</v>
      </c>
      <c r="G213" s="1" t="s">
        <v>8</v>
      </c>
      <c r="H213" s="1" t="s">
        <v>8</v>
      </c>
      <c r="I213" s="1" t="s">
        <v>8</v>
      </c>
      <c r="J213" s="1"/>
    </row>
    <row r="214" spans="1:10">
      <c r="A214" s="41"/>
      <c r="B214" s="36"/>
      <c r="C214" s="1">
        <v>3</v>
      </c>
      <c r="D214" s="1">
        <v>129</v>
      </c>
      <c r="E214" s="1">
        <v>116</v>
      </c>
      <c r="F214" s="1" t="s">
        <v>8</v>
      </c>
      <c r="G214" s="1" t="s">
        <v>8</v>
      </c>
      <c r="H214" s="1" t="s">
        <v>8</v>
      </c>
      <c r="I214" s="1" t="s">
        <v>8</v>
      </c>
      <c r="J214" s="1"/>
    </row>
    <row r="215" spans="1:10">
      <c r="A215" s="41"/>
      <c r="B215" s="36"/>
      <c r="C215" s="1">
        <v>4</v>
      </c>
      <c r="D215" s="1">
        <v>93</v>
      </c>
      <c r="E215" s="1">
        <v>130</v>
      </c>
      <c r="F215" s="1" t="s">
        <v>8</v>
      </c>
      <c r="G215" s="1" t="s">
        <v>8</v>
      </c>
      <c r="H215" s="1" t="s">
        <v>8</v>
      </c>
      <c r="I215" s="1" t="s">
        <v>8</v>
      </c>
      <c r="J215" s="1"/>
    </row>
    <row r="216" spans="1:10">
      <c r="A216" s="41"/>
      <c r="B216" s="36"/>
      <c r="C216" s="1">
        <v>5</v>
      </c>
      <c r="D216" s="1">
        <v>104</v>
      </c>
      <c r="E216" s="1">
        <v>164</v>
      </c>
      <c r="F216" s="1" t="s">
        <v>8</v>
      </c>
      <c r="G216" s="1" t="s">
        <v>8</v>
      </c>
      <c r="H216" s="1" t="s">
        <v>8</v>
      </c>
      <c r="I216" s="1" t="s">
        <v>8</v>
      </c>
      <c r="J216" s="1"/>
    </row>
    <row r="217" spans="1:10">
      <c r="A217" s="41"/>
      <c r="B217" s="36"/>
      <c r="C217" s="1">
        <v>6</v>
      </c>
      <c r="D217" s="1">
        <v>110</v>
      </c>
      <c r="E217" s="1">
        <v>113</v>
      </c>
      <c r="F217" s="1" t="s">
        <v>8</v>
      </c>
      <c r="G217" s="1" t="s">
        <v>8</v>
      </c>
      <c r="H217" s="1" t="s">
        <v>8</v>
      </c>
      <c r="I217" s="1" t="s">
        <v>8</v>
      </c>
      <c r="J217" s="1"/>
    </row>
    <row r="218" spans="1:10">
      <c r="A218" s="41"/>
      <c r="B218" s="36"/>
      <c r="C218" s="7" t="s">
        <v>6</v>
      </c>
      <c r="D218" s="8">
        <f>IF(SUM(D212:D217)=0,"-",SUM(D212:D217))</f>
        <v>701</v>
      </c>
      <c r="E218" s="8">
        <f t="shared" ref="E218:G218" si="98">IF(SUM(E212:E217)=0,"-",SUM(E212:E217))</f>
        <v>755</v>
      </c>
      <c r="F218" s="8" t="str">
        <f t="shared" si="98"/>
        <v>-</v>
      </c>
      <c r="G218" s="8" t="str">
        <f t="shared" si="98"/>
        <v>-</v>
      </c>
      <c r="H218" s="8" t="str">
        <f t="shared" ref="H218:I218" si="99">IF(SUM(H212:H217)=0,"-",SUM(H212:H217))</f>
        <v>-</v>
      </c>
      <c r="I218" s="8" t="str">
        <f t="shared" si="99"/>
        <v>-</v>
      </c>
      <c r="J218" s="8"/>
    </row>
    <row r="219" spans="1:10">
      <c r="A219" s="41"/>
      <c r="B219" s="36"/>
      <c r="C219" s="9" t="s">
        <v>7</v>
      </c>
      <c r="D219" s="10">
        <f>IF(D218="-","-",D218/MAX($C212:$C217))</f>
        <v>116.83333333333333</v>
      </c>
      <c r="E219" s="10">
        <f t="shared" ref="E219:G219" si="100">IF(E218="-","-",E218/MAX($C212:$C217))</f>
        <v>125.83333333333333</v>
      </c>
      <c r="F219" s="10" t="str">
        <f t="shared" si="100"/>
        <v>-</v>
      </c>
      <c r="G219" s="10" t="str">
        <f t="shared" si="100"/>
        <v>-</v>
      </c>
      <c r="H219" s="10" t="str">
        <f t="shared" ref="H219:I219" si="101">IF(H218="-","-",H218/MAX($C212:$C217))</f>
        <v>-</v>
      </c>
      <c r="I219" s="10" t="str">
        <f t="shared" si="101"/>
        <v>-</v>
      </c>
      <c r="J219" s="10"/>
    </row>
    <row r="220" spans="1:10">
      <c r="A220" s="35" t="s">
        <v>22</v>
      </c>
      <c r="B220" s="36">
        <v>44272</v>
      </c>
      <c r="C220" s="1">
        <v>1</v>
      </c>
      <c r="D220" s="1">
        <v>154</v>
      </c>
      <c r="E220" s="1">
        <v>112</v>
      </c>
      <c r="F220" s="1" t="s">
        <v>8</v>
      </c>
      <c r="G220" s="1" t="s">
        <v>8</v>
      </c>
      <c r="H220" s="1" t="s">
        <v>8</v>
      </c>
      <c r="I220" s="1" t="s">
        <v>8</v>
      </c>
      <c r="J220" s="1"/>
    </row>
    <row r="221" spans="1:10">
      <c r="A221" s="35"/>
      <c r="B221" s="36"/>
      <c r="C221" s="1">
        <v>2</v>
      </c>
      <c r="D221" s="1">
        <v>110</v>
      </c>
      <c r="E221" s="1">
        <v>138</v>
      </c>
      <c r="F221" s="1" t="s">
        <v>8</v>
      </c>
      <c r="G221" s="1" t="s">
        <v>8</v>
      </c>
      <c r="H221" s="1" t="s">
        <v>8</v>
      </c>
      <c r="I221" s="1" t="s">
        <v>8</v>
      </c>
      <c r="J221" s="1"/>
    </row>
    <row r="222" spans="1:10">
      <c r="A222" s="35"/>
      <c r="B222" s="36"/>
      <c r="C222" s="1">
        <v>3</v>
      </c>
      <c r="D222" s="1">
        <v>136</v>
      </c>
      <c r="E222" s="1">
        <v>124</v>
      </c>
      <c r="F222" s="1" t="s">
        <v>8</v>
      </c>
      <c r="G222" s="1" t="s">
        <v>8</v>
      </c>
      <c r="H222" s="1" t="s">
        <v>8</v>
      </c>
      <c r="I222" s="1" t="s">
        <v>8</v>
      </c>
      <c r="J222" s="1"/>
    </row>
    <row r="223" spans="1:10">
      <c r="A223" s="35"/>
      <c r="B223" s="36"/>
      <c r="C223" s="1">
        <v>4</v>
      </c>
      <c r="D223" s="1">
        <v>105</v>
      </c>
      <c r="E223" s="1">
        <v>102</v>
      </c>
      <c r="F223" s="1" t="s">
        <v>8</v>
      </c>
      <c r="G223" s="1" t="s">
        <v>8</v>
      </c>
      <c r="H223" s="1" t="s">
        <v>8</v>
      </c>
      <c r="I223" s="1" t="s">
        <v>8</v>
      </c>
      <c r="J223" s="1"/>
    </row>
    <row r="224" spans="1:10">
      <c r="A224" s="35"/>
      <c r="B224" s="36"/>
      <c r="C224" s="1">
        <v>5</v>
      </c>
      <c r="D224" s="1">
        <v>126</v>
      </c>
      <c r="E224" s="1">
        <v>85</v>
      </c>
      <c r="F224" s="1" t="s">
        <v>8</v>
      </c>
      <c r="G224" s="1" t="s">
        <v>8</v>
      </c>
      <c r="H224" s="1" t="s">
        <v>8</v>
      </c>
      <c r="I224" s="1" t="s">
        <v>8</v>
      </c>
      <c r="J224" s="1"/>
    </row>
    <row r="225" spans="1:10">
      <c r="A225" s="35"/>
      <c r="B225" s="36"/>
      <c r="C225" s="7" t="s">
        <v>6</v>
      </c>
      <c r="D225" s="8">
        <f t="shared" ref="D225:I225" si="102">IF(SUM(D220:D224)=0,"-",SUM(D220:D224))</f>
        <v>631</v>
      </c>
      <c r="E225" s="8">
        <f t="shared" si="102"/>
        <v>561</v>
      </c>
      <c r="F225" s="8" t="str">
        <f t="shared" si="102"/>
        <v>-</v>
      </c>
      <c r="G225" s="8" t="str">
        <f t="shared" si="102"/>
        <v>-</v>
      </c>
      <c r="H225" s="8" t="str">
        <f t="shared" si="102"/>
        <v>-</v>
      </c>
      <c r="I225" s="8" t="str">
        <f t="shared" si="102"/>
        <v>-</v>
      </c>
      <c r="J225" s="8"/>
    </row>
    <row r="226" spans="1:10">
      <c r="A226" s="35"/>
      <c r="B226" s="36"/>
      <c r="C226" s="9" t="s">
        <v>7</v>
      </c>
      <c r="D226" s="10">
        <f t="shared" ref="D226:I226" si="103">IF(D225="-","-",D225/MAX($C220:$C224))</f>
        <v>126.2</v>
      </c>
      <c r="E226" s="10">
        <f t="shared" si="103"/>
        <v>112.2</v>
      </c>
      <c r="F226" s="10" t="str">
        <f t="shared" si="103"/>
        <v>-</v>
      </c>
      <c r="G226" s="10" t="str">
        <f t="shared" si="103"/>
        <v>-</v>
      </c>
      <c r="H226" s="10" t="str">
        <f t="shared" si="103"/>
        <v>-</v>
      </c>
      <c r="I226" s="10" t="str">
        <f t="shared" si="103"/>
        <v>-</v>
      </c>
      <c r="J226" s="10"/>
    </row>
    <row r="227" spans="1:10">
      <c r="A227" s="35" t="s">
        <v>23</v>
      </c>
      <c r="B227" s="36">
        <v>44278</v>
      </c>
      <c r="C227" s="1">
        <v>1</v>
      </c>
      <c r="D227" s="1">
        <v>137</v>
      </c>
      <c r="E227" s="1">
        <v>109</v>
      </c>
      <c r="F227" s="1" t="s">
        <v>8</v>
      </c>
      <c r="G227" s="1" t="s">
        <v>8</v>
      </c>
      <c r="H227" s="1" t="s">
        <v>8</v>
      </c>
      <c r="I227" s="1" t="s">
        <v>8</v>
      </c>
      <c r="J227" s="1"/>
    </row>
    <row r="228" spans="1:10">
      <c r="A228" s="35"/>
      <c r="B228" s="36"/>
      <c r="C228" s="1">
        <v>2</v>
      </c>
      <c r="D228" s="1">
        <v>131</v>
      </c>
      <c r="E228" s="1">
        <v>102</v>
      </c>
      <c r="F228" s="1" t="s">
        <v>8</v>
      </c>
      <c r="G228" s="1" t="s">
        <v>8</v>
      </c>
      <c r="H228" s="1" t="s">
        <v>8</v>
      </c>
      <c r="I228" s="1" t="s">
        <v>8</v>
      </c>
      <c r="J228" s="1"/>
    </row>
    <row r="229" spans="1:10">
      <c r="A229" s="35"/>
      <c r="B229" s="36"/>
      <c r="C229" s="1">
        <v>3</v>
      </c>
      <c r="D229" s="1">
        <v>135</v>
      </c>
      <c r="E229" s="1">
        <v>124</v>
      </c>
      <c r="F229" s="1" t="s">
        <v>8</v>
      </c>
      <c r="G229" s="1" t="s">
        <v>8</v>
      </c>
      <c r="H229" s="1" t="s">
        <v>8</v>
      </c>
      <c r="I229" s="1" t="s">
        <v>8</v>
      </c>
      <c r="J229" s="1"/>
    </row>
    <row r="230" spans="1:10">
      <c r="A230" s="35"/>
      <c r="B230" s="36"/>
      <c r="C230" s="1">
        <v>4</v>
      </c>
      <c r="D230" s="1">
        <v>122</v>
      </c>
      <c r="E230" s="1">
        <v>127</v>
      </c>
      <c r="F230" s="1" t="s">
        <v>8</v>
      </c>
      <c r="G230" s="1" t="s">
        <v>8</v>
      </c>
      <c r="H230" s="1" t="s">
        <v>8</v>
      </c>
      <c r="I230" s="1" t="s">
        <v>8</v>
      </c>
      <c r="J230" s="1"/>
    </row>
    <row r="231" spans="1:10">
      <c r="A231" s="35"/>
      <c r="B231" s="36"/>
      <c r="C231" s="1">
        <v>5</v>
      </c>
      <c r="D231" s="1">
        <v>114</v>
      </c>
      <c r="E231" s="1">
        <v>193</v>
      </c>
      <c r="F231" s="1" t="s">
        <v>8</v>
      </c>
      <c r="G231" s="1" t="s">
        <v>8</v>
      </c>
      <c r="H231" s="1" t="s">
        <v>8</v>
      </c>
      <c r="I231" s="1" t="s">
        <v>8</v>
      </c>
      <c r="J231" s="1"/>
    </row>
    <row r="232" spans="1:10">
      <c r="A232" s="35"/>
      <c r="B232" s="36"/>
      <c r="C232" s="7" t="s">
        <v>6</v>
      </c>
      <c r="D232" s="8">
        <f t="shared" ref="D232:I232" si="104">IF(SUM(D227:D231)=0,"-",SUM(D227:D231))</f>
        <v>639</v>
      </c>
      <c r="E232" s="8">
        <f t="shared" si="104"/>
        <v>655</v>
      </c>
      <c r="F232" s="8" t="str">
        <f t="shared" si="104"/>
        <v>-</v>
      </c>
      <c r="G232" s="8" t="str">
        <f t="shared" si="104"/>
        <v>-</v>
      </c>
      <c r="H232" s="8" t="str">
        <f t="shared" si="104"/>
        <v>-</v>
      </c>
      <c r="I232" s="8" t="str">
        <f t="shared" si="104"/>
        <v>-</v>
      </c>
      <c r="J232" s="8"/>
    </row>
    <row r="233" spans="1:10">
      <c r="A233" s="35"/>
      <c r="B233" s="36"/>
      <c r="C233" s="9" t="s">
        <v>7</v>
      </c>
      <c r="D233" s="10">
        <f t="shared" ref="D233:I233" si="105">IF(D232="-","-",D232/MAX($C227:$C231))</f>
        <v>127.8</v>
      </c>
      <c r="E233" s="10">
        <f t="shared" si="105"/>
        <v>131</v>
      </c>
      <c r="F233" s="10" t="str">
        <f t="shared" si="105"/>
        <v>-</v>
      </c>
      <c r="G233" s="10" t="str">
        <f t="shared" si="105"/>
        <v>-</v>
      </c>
      <c r="H233" s="10" t="str">
        <f t="shared" si="105"/>
        <v>-</v>
      </c>
      <c r="I233" s="10" t="str">
        <f t="shared" si="105"/>
        <v>-</v>
      </c>
      <c r="J233" s="10"/>
    </row>
    <row r="234" spans="1:10">
      <c r="A234" s="35" t="s">
        <v>24</v>
      </c>
      <c r="B234" s="36">
        <v>44294</v>
      </c>
      <c r="C234" s="1">
        <v>1</v>
      </c>
      <c r="D234" s="1">
        <v>146</v>
      </c>
      <c r="E234" s="1">
        <v>141</v>
      </c>
      <c r="F234" s="1" t="s">
        <v>8</v>
      </c>
      <c r="G234" s="1" t="s">
        <v>8</v>
      </c>
      <c r="H234" s="1" t="s">
        <v>8</v>
      </c>
      <c r="I234" s="1" t="s">
        <v>8</v>
      </c>
      <c r="J234" s="1"/>
    </row>
    <row r="235" spans="1:10">
      <c r="A235" s="35"/>
      <c r="B235" s="36"/>
      <c r="C235" s="1">
        <v>2</v>
      </c>
      <c r="D235" s="1">
        <v>108</v>
      </c>
      <c r="E235" s="1">
        <v>144</v>
      </c>
      <c r="F235" s="1" t="s">
        <v>8</v>
      </c>
      <c r="G235" s="1" t="s">
        <v>8</v>
      </c>
      <c r="H235" s="1" t="s">
        <v>8</v>
      </c>
      <c r="I235" s="1" t="s">
        <v>8</v>
      </c>
      <c r="J235" s="1"/>
    </row>
    <row r="236" spans="1:10">
      <c r="A236" s="35"/>
      <c r="B236" s="36"/>
      <c r="C236" s="1">
        <v>3</v>
      </c>
      <c r="D236" s="1">
        <v>99</v>
      </c>
      <c r="E236" s="1">
        <v>148</v>
      </c>
      <c r="F236" s="1" t="s">
        <v>8</v>
      </c>
      <c r="G236" s="1" t="s">
        <v>8</v>
      </c>
      <c r="H236" s="1" t="s">
        <v>8</v>
      </c>
      <c r="I236" s="1" t="s">
        <v>8</v>
      </c>
      <c r="J236" s="1"/>
    </row>
    <row r="237" spans="1:10">
      <c r="A237" s="35"/>
      <c r="B237" s="36"/>
      <c r="C237" s="1">
        <v>4</v>
      </c>
      <c r="D237" s="1">
        <v>105</v>
      </c>
      <c r="E237" s="1">
        <v>157</v>
      </c>
      <c r="F237" s="1" t="s">
        <v>8</v>
      </c>
      <c r="G237" s="1" t="s">
        <v>8</v>
      </c>
      <c r="H237" s="1" t="s">
        <v>8</v>
      </c>
      <c r="I237" s="1" t="s">
        <v>8</v>
      </c>
      <c r="J237" s="1"/>
    </row>
    <row r="238" spans="1:10">
      <c r="A238" s="35"/>
      <c r="B238" s="36"/>
      <c r="C238" s="1">
        <v>5</v>
      </c>
      <c r="D238" s="1">
        <v>121</v>
      </c>
      <c r="E238" s="1">
        <v>135</v>
      </c>
      <c r="F238" s="1" t="s">
        <v>8</v>
      </c>
      <c r="G238" s="1" t="s">
        <v>8</v>
      </c>
      <c r="H238" s="1" t="s">
        <v>8</v>
      </c>
      <c r="I238" s="1" t="s">
        <v>8</v>
      </c>
      <c r="J238" s="1"/>
    </row>
    <row r="239" spans="1:10">
      <c r="A239" s="35"/>
      <c r="B239" s="36"/>
      <c r="C239" s="7" t="s">
        <v>6</v>
      </c>
      <c r="D239" s="8">
        <f t="shared" ref="D239:I239" si="106">IF(SUM(D234:D238)=0,"-",SUM(D234:D238))</f>
        <v>579</v>
      </c>
      <c r="E239" s="8">
        <f t="shared" si="106"/>
        <v>725</v>
      </c>
      <c r="F239" s="8" t="str">
        <f t="shared" si="106"/>
        <v>-</v>
      </c>
      <c r="G239" s="8" t="str">
        <f t="shared" si="106"/>
        <v>-</v>
      </c>
      <c r="H239" s="8" t="str">
        <f t="shared" si="106"/>
        <v>-</v>
      </c>
      <c r="I239" s="8" t="str">
        <f t="shared" si="106"/>
        <v>-</v>
      </c>
      <c r="J239" s="8"/>
    </row>
    <row r="240" spans="1:10">
      <c r="A240" s="35"/>
      <c r="B240" s="36"/>
      <c r="C240" s="9" t="s">
        <v>7</v>
      </c>
      <c r="D240" s="10">
        <f t="shared" ref="D240:I240" si="107">IF(D239="-","-",D239/MAX($C234:$C238))</f>
        <v>115.8</v>
      </c>
      <c r="E240" s="10">
        <f t="shared" si="107"/>
        <v>145</v>
      </c>
      <c r="F240" s="10" t="str">
        <f t="shared" si="107"/>
        <v>-</v>
      </c>
      <c r="G240" s="10" t="str">
        <f t="shared" si="107"/>
        <v>-</v>
      </c>
      <c r="H240" s="10" t="str">
        <f t="shared" si="107"/>
        <v>-</v>
      </c>
      <c r="I240" s="10" t="str">
        <f t="shared" si="107"/>
        <v>-</v>
      </c>
      <c r="J240" s="10"/>
    </row>
    <row r="241" spans="1:10">
      <c r="A241" s="35" t="s">
        <v>25</v>
      </c>
      <c r="B241" s="36">
        <v>44300</v>
      </c>
      <c r="C241" s="1">
        <v>1</v>
      </c>
      <c r="D241" s="1">
        <v>81</v>
      </c>
      <c r="E241" s="1">
        <v>145</v>
      </c>
      <c r="F241" s="1" t="s">
        <v>8</v>
      </c>
      <c r="G241" s="1" t="s">
        <v>8</v>
      </c>
      <c r="H241" s="1" t="s">
        <v>8</v>
      </c>
      <c r="I241" s="1" t="s">
        <v>8</v>
      </c>
      <c r="J241" s="1"/>
    </row>
    <row r="242" spans="1:10">
      <c r="A242" s="35"/>
      <c r="B242" s="36"/>
      <c r="C242" s="1">
        <v>2</v>
      </c>
      <c r="D242" s="1">
        <v>133</v>
      </c>
      <c r="E242" s="1">
        <v>109</v>
      </c>
      <c r="F242" s="1" t="s">
        <v>8</v>
      </c>
      <c r="G242" s="1" t="s">
        <v>8</v>
      </c>
      <c r="H242" s="1" t="s">
        <v>8</v>
      </c>
      <c r="I242" s="1" t="s">
        <v>8</v>
      </c>
      <c r="J242" s="1"/>
    </row>
    <row r="243" spans="1:10">
      <c r="A243" s="35"/>
      <c r="B243" s="36"/>
      <c r="C243" s="1">
        <v>3</v>
      </c>
      <c r="D243" s="1">
        <v>131</v>
      </c>
      <c r="E243" s="1">
        <v>138</v>
      </c>
      <c r="F243" s="1" t="s">
        <v>8</v>
      </c>
      <c r="G243" s="1" t="s">
        <v>8</v>
      </c>
      <c r="H243" s="1" t="s">
        <v>8</v>
      </c>
      <c r="I243" s="1" t="s">
        <v>8</v>
      </c>
      <c r="J243" s="1"/>
    </row>
    <row r="244" spans="1:10">
      <c r="A244" s="35"/>
      <c r="B244" s="36"/>
      <c r="C244" s="1">
        <v>4</v>
      </c>
      <c r="D244" s="1">
        <v>96</v>
      </c>
      <c r="E244" s="1">
        <v>112</v>
      </c>
      <c r="F244" s="1" t="s">
        <v>8</v>
      </c>
      <c r="G244" s="1" t="s">
        <v>8</v>
      </c>
      <c r="H244" s="1" t="s">
        <v>8</v>
      </c>
      <c r="I244" s="1" t="s">
        <v>8</v>
      </c>
      <c r="J244" s="1"/>
    </row>
    <row r="245" spans="1:10">
      <c r="A245" s="35"/>
      <c r="B245" s="36"/>
      <c r="C245" s="1">
        <v>5</v>
      </c>
      <c r="D245" s="1">
        <v>103</v>
      </c>
      <c r="E245" s="1">
        <v>146</v>
      </c>
      <c r="F245" s="1" t="s">
        <v>8</v>
      </c>
      <c r="G245" s="1" t="s">
        <v>8</v>
      </c>
      <c r="H245" s="1" t="s">
        <v>8</v>
      </c>
      <c r="I245" s="1" t="s">
        <v>8</v>
      </c>
      <c r="J245" s="1"/>
    </row>
    <row r="246" spans="1:10">
      <c r="A246" s="35"/>
      <c r="B246" s="36"/>
      <c r="C246" s="7" t="s">
        <v>6</v>
      </c>
      <c r="D246" s="8">
        <f t="shared" ref="D246:I246" si="108">IF(SUM(D241:D245)=0,"-",SUM(D241:D245))</f>
        <v>544</v>
      </c>
      <c r="E246" s="8">
        <f t="shared" si="108"/>
        <v>650</v>
      </c>
      <c r="F246" s="8" t="str">
        <f t="shared" si="108"/>
        <v>-</v>
      </c>
      <c r="G246" s="8" t="str">
        <f t="shared" si="108"/>
        <v>-</v>
      </c>
      <c r="H246" s="8" t="str">
        <f t="shared" si="108"/>
        <v>-</v>
      </c>
      <c r="I246" s="8" t="str">
        <f t="shared" si="108"/>
        <v>-</v>
      </c>
      <c r="J246" s="8"/>
    </row>
    <row r="247" spans="1:10">
      <c r="A247" s="35"/>
      <c r="B247" s="36"/>
      <c r="C247" s="9" t="s">
        <v>7</v>
      </c>
      <c r="D247" s="10">
        <f t="shared" ref="D247:I247" si="109">IF(D246="-","-",D246/MAX($C241:$C245))</f>
        <v>108.8</v>
      </c>
      <c r="E247" s="10">
        <f t="shared" si="109"/>
        <v>130</v>
      </c>
      <c r="F247" s="10" t="str">
        <f t="shared" si="109"/>
        <v>-</v>
      </c>
      <c r="G247" s="10" t="str">
        <f t="shared" si="109"/>
        <v>-</v>
      </c>
      <c r="H247" s="10" t="str">
        <f t="shared" si="109"/>
        <v>-</v>
      </c>
      <c r="I247" s="10" t="str">
        <f t="shared" si="109"/>
        <v>-</v>
      </c>
      <c r="J247" s="10"/>
    </row>
    <row r="248" spans="1:10">
      <c r="A248" s="35" t="s">
        <v>26</v>
      </c>
      <c r="B248" s="36">
        <v>44307</v>
      </c>
      <c r="C248" s="1">
        <v>1</v>
      </c>
      <c r="D248" s="1">
        <v>125</v>
      </c>
      <c r="E248" s="1">
        <v>113</v>
      </c>
      <c r="F248" s="1" t="s">
        <v>8</v>
      </c>
      <c r="G248" s="1" t="s">
        <v>8</v>
      </c>
      <c r="H248" s="1" t="s">
        <v>8</v>
      </c>
      <c r="I248" s="1" t="s">
        <v>8</v>
      </c>
      <c r="J248" s="1"/>
    </row>
    <row r="249" spans="1:10">
      <c r="A249" s="35"/>
      <c r="B249" s="36"/>
      <c r="C249" s="1">
        <v>2</v>
      </c>
      <c r="D249" s="1">
        <v>107</v>
      </c>
      <c r="E249" s="1">
        <v>101</v>
      </c>
      <c r="F249" s="1" t="s">
        <v>8</v>
      </c>
      <c r="G249" s="1" t="s">
        <v>8</v>
      </c>
      <c r="H249" s="1" t="s">
        <v>8</v>
      </c>
      <c r="I249" s="1" t="s">
        <v>8</v>
      </c>
      <c r="J249" s="1"/>
    </row>
    <row r="250" spans="1:10">
      <c r="A250" s="35"/>
      <c r="B250" s="36"/>
      <c r="C250" s="1">
        <v>3</v>
      </c>
      <c r="D250" s="1">
        <v>120</v>
      </c>
      <c r="E250" s="1">
        <v>163</v>
      </c>
      <c r="F250" s="24">
        <v>111</v>
      </c>
      <c r="G250" s="1" t="s">
        <v>8</v>
      </c>
      <c r="H250" s="1" t="s">
        <v>8</v>
      </c>
      <c r="I250" s="1" t="s">
        <v>8</v>
      </c>
      <c r="J250" s="1"/>
    </row>
    <row r="251" spans="1:10">
      <c r="A251" s="35"/>
      <c r="B251" s="36"/>
      <c r="C251" s="1">
        <v>4</v>
      </c>
      <c r="D251" s="1">
        <v>123</v>
      </c>
      <c r="E251" s="1">
        <v>128</v>
      </c>
      <c r="F251" s="1">
        <v>143</v>
      </c>
      <c r="G251" s="1" t="s">
        <v>8</v>
      </c>
      <c r="H251" s="1" t="s">
        <v>8</v>
      </c>
      <c r="I251" s="1" t="s">
        <v>8</v>
      </c>
      <c r="J251" s="1"/>
    </row>
    <row r="252" spans="1:10">
      <c r="A252" s="35"/>
      <c r="B252" s="36"/>
      <c r="C252" s="1">
        <v>5</v>
      </c>
      <c r="D252" s="1">
        <v>97</v>
      </c>
      <c r="E252" s="1">
        <v>176</v>
      </c>
      <c r="F252" s="1">
        <v>127</v>
      </c>
      <c r="G252" s="1" t="s">
        <v>8</v>
      </c>
      <c r="H252" s="1" t="s">
        <v>8</v>
      </c>
      <c r="I252" s="1" t="s">
        <v>8</v>
      </c>
      <c r="J252" s="1"/>
    </row>
    <row r="253" spans="1:10">
      <c r="A253" s="35"/>
      <c r="B253" s="36"/>
      <c r="C253" s="1">
        <v>6</v>
      </c>
      <c r="D253" s="1">
        <v>134</v>
      </c>
      <c r="E253" s="1">
        <v>112</v>
      </c>
      <c r="F253" s="1">
        <v>102</v>
      </c>
      <c r="G253" s="1"/>
      <c r="H253" s="1"/>
      <c r="I253" s="1"/>
      <c r="J253" s="1"/>
    </row>
    <row r="254" spans="1:10">
      <c r="A254" s="35"/>
      <c r="B254" s="36"/>
      <c r="C254" s="7" t="s">
        <v>6</v>
      </c>
      <c r="D254" s="8">
        <f>IF(SUM(D248:D253)=0,"-",SUM(D248:D253))</f>
        <v>706</v>
      </c>
      <c r="E254" s="8">
        <f>IF(SUM(E248:E253)=0,"-",SUM(E248:E253))</f>
        <v>793</v>
      </c>
      <c r="F254" s="8">
        <f>IF(SUM(F248:F253)=0,"-",SUM(F248:F253))</f>
        <v>483</v>
      </c>
      <c r="G254" s="8" t="str">
        <f>IF(SUM(G248:G252)=0,"-",SUM(G248:G252))</f>
        <v>-</v>
      </c>
      <c r="H254" s="8" t="str">
        <f>IF(SUM(H248:H252)=0,"-",SUM(H248:H252))</f>
        <v>-</v>
      </c>
      <c r="I254" s="8" t="str">
        <f>IF(SUM(I248:I252)=0,"-",SUM(I248:I252))</f>
        <v>-</v>
      </c>
      <c r="J254" s="8"/>
    </row>
    <row r="255" spans="1:10">
      <c r="A255" s="35"/>
      <c r="B255" s="36"/>
      <c r="C255" s="9" t="s">
        <v>7</v>
      </c>
      <c r="D255" s="10">
        <f>IF(D254="-","-",D254/MAX($C248:$C253))</f>
        <v>117.66666666666667</v>
      </c>
      <c r="E255" s="10">
        <f>IF(E254="-","-",E254/MAX($C248:$C253))</f>
        <v>132.16666666666666</v>
      </c>
      <c r="F255" s="10">
        <f>IF(F254="-","-",F254/ (MAX($C248:$C253)-2))</f>
        <v>120.75</v>
      </c>
      <c r="G255" s="10" t="str">
        <f>IF(G254="-","-",G254/MAX($C248:$C252))</f>
        <v>-</v>
      </c>
      <c r="H255" s="10" t="str">
        <f>IF(H254="-","-",H254/MAX($C248:$C252))</f>
        <v>-</v>
      </c>
      <c r="I255" s="10" t="str">
        <f>IF(I254="-","-",I254/MAX($C248:$C252))</f>
        <v>-</v>
      </c>
      <c r="J255" s="10"/>
    </row>
    <row r="256" spans="1:10">
      <c r="A256" s="35" t="s">
        <v>27</v>
      </c>
      <c r="B256" s="36">
        <v>44315</v>
      </c>
      <c r="C256" s="1">
        <v>1</v>
      </c>
      <c r="D256" s="1">
        <v>119</v>
      </c>
      <c r="E256" s="1">
        <v>102</v>
      </c>
      <c r="F256" s="1" t="s">
        <v>8</v>
      </c>
      <c r="G256" s="1" t="s">
        <v>8</v>
      </c>
      <c r="H256" s="1" t="s">
        <v>8</v>
      </c>
      <c r="I256" s="1" t="s">
        <v>8</v>
      </c>
      <c r="J256" s="1"/>
    </row>
    <row r="257" spans="1:10">
      <c r="A257" s="35"/>
      <c r="B257" s="36"/>
      <c r="C257" s="1">
        <v>2</v>
      </c>
      <c r="D257" s="1">
        <v>91</v>
      </c>
      <c r="E257" s="1">
        <v>99</v>
      </c>
      <c r="F257" s="1" t="s">
        <v>8</v>
      </c>
      <c r="G257" s="1" t="s">
        <v>8</v>
      </c>
      <c r="H257" s="1" t="s">
        <v>8</v>
      </c>
      <c r="I257" s="1" t="s">
        <v>8</v>
      </c>
      <c r="J257" s="1"/>
    </row>
    <row r="258" spans="1:10">
      <c r="A258" s="35"/>
      <c r="B258" s="36"/>
      <c r="C258" s="1">
        <v>3</v>
      </c>
      <c r="D258" s="1">
        <v>82</v>
      </c>
      <c r="E258" s="1">
        <v>116</v>
      </c>
      <c r="F258" s="1" t="s">
        <v>8</v>
      </c>
      <c r="G258" s="1" t="s">
        <v>8</v>
      </c>
      <c r="H258" s="1" t="s">
        <v>8</v>
      </c>
      <c r="I258" s="1" t="s">
        <v>8</v>
      </c>
      <c r="J258" s="1"/>
    </row>
    <row r="259" spans="1:10">
      <c r="A259" s="35"/>
      <c r="B259" s="36"/>
      <c r="C259" s="1">
        <v>4</v>
      </c>
      <c r="D259" s="1">
        <v>82</v>
      </c>
      <c r="E259" s="1">
        <v>122</v>
      </c>
      <c r="F259" s="1" t="s">
        <v>8</v>
      </c>
      <c r="G259" s="1" t="s">
        <v>8</v>
      </c>
      <c r="H259" s="1" t="s">
        <v>8</v>
      </c>
      <c r="I259" s="1" t="s">
        <v>8</v>
      </c>
      <c r="J259" s="1"/>
    </row>
    <row r="260" spans="1:10">
      <c r="A260" s="35"/>
      <c r="B260" s="36"/>
      <c r="C260" s="1">
        <v>5</v>
      </c>
      <c r="D260" s="1">
        <v>114</v>
      </c>
      <c r="E260" s="1">
        <v>102</v>
      </c>
      <c r="F260" s="1" t="s">
        <v>8</v>
      </c>
      <c r="G260" s="1" t="s">
        <v>8</v>
      </c>
      <c r="H260" s="1" t="s">
        <v>8</v>
      </c>
      <c r="I260" s="1" t="s">
        <v>8</v>
      </c>
      <c r="J260" s="1"/>
    </row>
    <row r="261" spans="1:10">
      <c r="A261" s="35"/>
      <c r="B261" s="36"/>
      <c r="C261" s="7" t="s">
        <v>6</v>
      </c>
      <c r="D261" s="8">
        <f t="shared" ref="D261:I261" si="110">IF(SUM(D256:D260)=0,"-",SUM(D256:D260))</f>
        <v>488</v>
      </c>
      <c r="E261" s="8">
        <f t="shared" si="110"/>
        <v>541</v>
      </c>
      <c r="F261" s="8" t="str">
        <f t="shared" si="110"/>
        <v>-</v>
      </c>
      <c r="G261" s="8" t="str">
        <f t="shared" si="110"/>
        <v>-</v>
      </c>
      <c r="H261" s="8" t="str">
        <f t="shared" si="110"/>
        <v>-</v>
      </c>
      <c r="I261" s="8" t="str">
        <f t="shared" si="110"/>
        <v>-</v>
      </c>
      <c r="J261" s="8"/>
    </row>
    <row r="262" spans="1:10">
      <c r="A262" s="35"/>
      <c r="B262" s="36"/>
      <c r="C262" s="9" t="s">
        <v>7</v>
      </c>
      <c r="D262" s="10">
        <f t="shared" ref="D262:I262" si="111">IF(D261="-","-",D261/MAX($C256:$C260))</f>
        <v>97.6</v>
      </c>
      <c r="E262" s="10">
        <f t="shared" si="111"/>
        <v>108.2</v>
      </c>
      <c r="F262" s="10" t="str">
        <f t="shared" si="111"/>
        <v>-</v>
      </c>
      <c r="G262" s="10" t="str">
        <f t="shared" si="111"/>
        <v>-</v>
      </c>
      <c r="H262" s="10" t="str">
        <f t="shared" si="111"/>
        <v>-</v>
      </c>
      <c r="I262" s="10" t="str">
        <f t="shared" si="111"/>
        <v>-</v>
      </c>
      <c r="J262" s="10"/>
    </row>
    <row r="263" spans="1:10">
      <c r="A263" s="35" t="s">
        <v>28</v>
      </c>
      <c r="B263" s="36">
        <v>44322</v>
      </c>
      <c r="C263" s="1">
        <v>1</v>
      </c>
      <c r="D263" s="1">
        <v>127</v>
      </c>
      <c r="E263" s="1">
        <v>153</v>
      </c>
      <c r="F263" s="1" t="s">
        <v>8</v>
      </c>
      <c r="G263" s="1" t="s">
        <v>8</v>
      </c>
      <c r="H263" s="1" t="s">
        <v>8</v>
      </c>
      <c r="I263" s="1" t="s">
        <v>8</v>
      </c>
      <c r="J263" s="1"/>
    </row>
    <row r="264" spans="1:10">
      <c r="A264" s="35"/>
      <c r="B264" s="36"/>
      <c r="C264" s="1">
        <v>2</v>
      </c>
      <c r="D264" s="1">
        <v>182</v>
      </c>
      <c r="E264" s="1">
        <v>164</v>
      </c>
      <c r="F264" s="1" t="s">
        <v>8</v>
      </c>
      <c r="G264" s="1" t="s">
        <v>8</v>
      </c>
      <c r="H264" s="1" t="s">
        <v>8</v>
      </c>
      <c r="I264" s="1" t="s">
        <v>8</v>
      </c>
      <c r="J264" s="1"/>
    </row>
    <row r="265" spans="1:10">
      <c r="A265" s="35"/>
      <c r="B265" s="36"/>
      <c r="C265" s="1">
        <v>3</v>
      </c>
      <c r="D265" s="1">
        <v>142</v>
      </c>
      <c r="E265" s="1">
        <v>128</v>
      </c>
      <c r="F265" s="1" t="s">
        <v>8</v>
      </c>
      <c r="G265" s="1" t="s">
        <v>8</v>
      </c>
      <c r="H265" s="1" t="s">
        <v>8</v>
      </c>
      <c r="I265" s="1" t="s">
        <v>8</v>
      </c>
      <c r="J265" s="1"/>
    </row>
    <row r="266" spans="1:10">
      <c r="A266" s="35"/>
      <c r="B266" s="36"/>
      <c r="C266" s="1">
        <v>4</v>
      </c>
      <c r="D266" s="1">
        <v>158</v>
      </c>
      <c r="E266" s="1">
        <v>172</v>
      </c>
      <c r="F266" s="1" t="s">
        <v>8</v>
      </c>
      <c r="G266" s="1" t="s">
        <v>8</v>
      </c>
      <c r="H266" s="1" t="s">
        <v>8</v>
      </c>
      <c r="I266" s="1" t="s">
        <v>8</v>
      </c>
      <c r="J266" s="1"/>
    </row>
    <row r="267" spans="1:10">
      <c r="A267" s="35"/>
      <c r="B267" s="36"/>
      <c r="C267" s="1">
        <v>5</v>
      </c>
      <c r="D267" s="1">
        <v>155</v>
      </c>
      <c r="E267" s="1">
        <v>126</v>
      </c>
      <c r="F267" s="1" t="s">
        <v>8</v>
      </c>
      <c r="G267" s="1" t="s">
        <v>8</v>
      </c>
      <c r="H267" s="1" t="s">
        <v>8</v>
      </c>
      <c r="I267" s="1" t="s">
        <v>8</v>
      </c>
      <c r="J267" s="1"/>
    </row>
    <row r="268" spans="1:10">
      <c r="A268" s="35"/>
      <c r="B268" s="36"/>
      <c r="C268" s="7" t="s">
        <v>6</v>
      </c>
      <c r="D268" s="8">
        <f t="shared" ref="D268:I268" si="112">IF(SUM(D263:D267)=0,"-",SUM(D263:D267))</f>
        <v>764</v>
      </c>
      <c r="E268" s="8">
        <f t="shared" si="112"/>
        <v>743</v>
      </c>
      <c r="F268" s="8" t="str">
        <f t="shared" si="112"/>
        <v>-</v>
      </c>
      <c r="G268" s="8" t="str">
        <f t="shared" si="112"/>
        <v>-</v>
      </c>
      <c r="H268" s="8" t="str">
        <f t="shared" si="112"/>
        <v>-</v>
      </c>
      <c r="I268" s="8" t="str">
        <f t="shared" si="112"/>
        <v>-</v>
      </c>
      <c r="J268" s="8"/>
    </row>
    <row r="269" spans="1:10">
      <c r="A269" s="35"/>
      <c r="B269" s="36"/>
      <c r="C269" s="9" t="s">
        <v>7</v>
      </c>
      <c r="D269" s="10">
        <f t="shared" ref="D269:I269" si="113">IF(D268="-","-",D268/MAX($C263:$C267))</f>
        <v>152.80000000000001</v>
      </c>
      <c r="E269" s="10">
        <f t="shared" si="113"/>
        <v>148.6</v>
      </c>
      <c r="F269" s="10" t="str">
        <f t="shared" si="113"/>
        <v>-</v>
      </c>
      <c r="G269" s="10" t="str">
        <f t="shared" si="113"/>
        <v>-</v>
      </c>
      <c r="H269" s="10" t="str">
        <f t="shared" si="113"/>
        <v>-</v>
      </c>
      <c r="I269" s="10" t="str">
        <f t="shared" si="113"/>
        <v>-</v>
      </c>
      <c r="J269" s="10"/>
    </row>
    <row r="270" spans="1:10">
      <c r="A270" s="40" t="s">
        <v>29</v>
      </c>
      <c r="B270" s="36">
        <v>44426</v>
      </c>
      <c r="C270" s="1">
        <v>1</v>
      </c>
      <c r="D270" s="1">
        <v>111</v>
      </c>
      <c r="E270" s="1">
        <v>108</v>
      </c>
      <c r="F270" s="1" t="s">
        <v>8</v>
      </c>
      <c r="G270" s="1" t="s">
        <v>8</v>
      </c>
      <c r="H270" s="1" t="s">
        <v>8</v>
      </c>
      <c r="I270" s="1" t="s">
        <v>8</v>
      </c>
      <c r="J270" s="1"/>
    </row>
    <row r="271" spans="1:10">
      <c r="A271" s="40"/>
      <c r="B271" s="36"/>
      <c r="C271" s="1">
        <v>2</v>
      </c>
      <c r="D271" s="1">
        <v>146</v>
      </c>
      <c r="E271" s="1">
        <v>159</v>
      </c>
      <c r="F271" s="1" t="s">
        <v>8</v>
      </c>
      <c r="G271" s="1" t="s">
        <v>8</v>
      </c>
      <c r="H271" s="1" t="s">
        <v>8</v>
      </c>
      <c r="I271" s="1" t="s">
        <v>8</v>
      </c>
      <c r="J271" s="1"/>
    </row>
    <row r="272" spans="1:10">
      <c r="A272" s="40"/>
      <c r="B272" s="36"/>
      <c r="C272" s="1">
        <v>3</v>
      </c>
      <c r="D272" s="1">
        <v>123</v>
      </c>
      <c r="E272" s="1">
        <v>141</v>
      </c>
      <c r="F272" s="1" t="s">
        <v>8</v>
      </c>
      <c r="G272" s="1" t="s">
        <v>8</v>
      </c>
      <c r="H272" s="1" t="s">
        <v>8</v>
      </c>
      <c r="I272" s="1" t="s">
        <v>8</v>
      </c>
      <c r="J272" s="1"/>
    </row>
    <row r="273" spans="1:10">
      <c r="A273" s="40"/>
      <c r="B273" s="36"/>
      <c r="C273" s="1">
        <v>4</v>
      </c>
      <c r="D273" s="1">
        <v>111</v>
      </c>
      <c r="E273" s="1">
        <v>137</v>
      </c>
      <c r="F273" s="1" t="s">
        <v>8</v>
      </c>
      <c r="G273" s="1" t="s">
        <v>8</v>
      </c>
      <c r="H273" s="1" t="s">
        <v>8</v>
      </c>
      <c r="I273" s="1" t="s">
        <v>8</v>
      </c>
      <c r="J273" s="1"/>
    </row>
    <row r="274" spans="1:10">
      <c r="A274" s="40"/>
      <c r="B274" s="36"/>
      <c r="C274" s="1">
        <v>5</v>
      </c>
      <c r="D274" s="1">
        <v>97</v>
      </c>
      <c r="E274" s="1">
        <v>153</v>
      </c>
      <c r="F274" s="1" t="s">
        <v>8</v>
      </c>
      <c r="G274" s="1" t="s">
        <v>8</v>
      </c>
      <c r="H274" s="1" t="s">
        <v>8</v>
      </c>
      <c r="I274" s="1" t="s">
        <v>8</v>
      </c>
      <c r="J274" s="1"/>
    </row>
    <row r="275" spans="1:10">
      <c r="A275" s="40"/>
      <c r="B275" s="36"/>
      <c r="C275" s="7" t="s">
        <v>6</v>
      </c>
      <c r="D275" s="8">
        <f t="shared" ref="D275:I275" si="114">IF(SUM(D270:D274)=0,"-",SUM(D270:D274))</f>
        <v>588</v>
      </c>
      <c r="E275" s="8">
        <f t="shared" si="114"/>
        <v>698</v>
      </c>
      <c r="F275" s="8" t="str">
        <f t="shared" si="114"/>
        <v>-</v>
      </c>
      <c r="G275" s="8" t="str">
        <f t="shared" si="114"/>
        <v>-</v>
      </c>
      <c r="H275" s="8" t="str">
        <f t="shared" si="114"/>
        <v>-</v>
      </c>
      <c r="I275" s="8" t="str">
        <f t="shared" si="114"/>
        <v>-</v>
      </c>
      <c r="J275" s="8"/>
    </row>
    <row r="276" spans="1:10">
      <c r="A276" s="40"/>
      <c r="B276" s="36"/>
      <c r="C276" s="9" t="s">
        <v>7</v>
      </c>
      <c r="D276" s="10">
        <f t="shared" ref="D276:I276" si="115">IF(D275="-","-",D275/MAX($C270:$C274))</f>
        <v>117.6</v>
      </c>
      <c r="E276" s="10">
        <f t="shared" si="115"/>
        <v>139.6</v>
      </c>
      <c r="F276" s="10" t="str">
        <f t="shared" si="115"/>
        <v>-</v>
      </c>
      <c r="G276" s="10" t="str">
        <f t="shared" si="115"/>
        <v>-</v>
      </c>
      <c r="H276" s="10" t="str">
        <f t="shared" si="115"/>
        <v>-</v>
      </c>
      <c r="I276" s="10" t="str">
        <f t="shared" si="115"/>
        <v>-</v>
      </c>
      <c r="J276" s="10"/>
    </row>
    <row r="277" spans="1:10">
      <c r="A277" s="35" t="s">
        <v>30</v>
      </c>
      <c r="B277" s="36">
        <v>44441</v>
      </c>
      <c r="C277" s="1">
        <v>1</v>
      </c>
      <c r="D277" s="1">
        <v>134</v>
      </c>
      <c r="E277" s="1">
        <v>133</v>
      </c>
      <c r="F277" s="1" t="s">
        <v>8</v>
      </c>
      <c r="G277" s="1" t="s">
        <v>8</v>
      </c>
      <c r="H277" s="1" t="s">
        <v>8</v>
      </c>
      <c r="I277" s="1" t="s">
        <v>8</v>
      </c>
      <c r="J277" s="1"/>
    </row>
    <row r="278" spans="1:10">
      <c r="A278" s="35"/>
      <c r="B278" s="36"/>
      <c r="C278" s="1">
        <v>2</v>
      </c>
      <c r="D278" s="1">
        <v>79</v>
      </c>
      <c r="E278" s="1">
        <v>165</v>
      </c>
      <c r="F278" s="1" t="s">
        <v>8</v>
      </c>
      <c r="G278" s="1" t="s">
        <v>8</v>
      </c>
      <c r="H278" s="1" t="s">
        <v>8</v>
      </c>
      <c r="I278" s="1" t="s">
        <v>8</v>
      </c>
      <c r="J278" s="1"/>
    </row>
    <row r="279" spans="1:10">
      <c r="A279" s="35"/>
      <c r="B279" s="36"/>
      <c r="C279" s="1">
        <v>3</v>
      </c>
      <c r="D279" s="1">
        <v>103</v>
      </c>
      <c r="E279" s="1">
        <v>157</v>
      </c>
      <c r="F279" s="1" t="s">
        <v>8</v>
      </c>
      <c r="G279" s="1" t="s">
        <v>8</v>
      </c>
      <c r="H279" s="1" t="s">
        <v>8</v>
      </c>
      <c r="I279" s="1" t="s">
        <v>8</v>
      </c>
      <c r="J279" s="1"/>
    </row>
    <row r="280" spans="1:10">
      <c r="A280" s="35"/>
      <c r="B280" s="36"/>
      <c r="C280" s="1">
        <v>4</v>
      </c>
      <c r="D280" s="1">
        <v>113</v>
      </c>
      <c r="E280" s="1">
        <v>123</v>
      </c>
      <c r="F280" s="1" t="s">
        <v>8</v>
      </c>
      <c r="G280" s="1" t="s">
        <v>8</v>
      </c>
      <c r="H280" s="1" t="s">
        <v>8</v>
      </c>
      <c r="I280" s="1" t="s">
        <v>8</v>
      </c>
      <c r="J280" s="1"/>
    </row>
    <row r="281" spans="1:10">
      <c r="A281" s="35"/>
      <c r="B281" s="36"/>
      <c r="C281" s="1">
        <v>5</v>
      </c>
      <c r="D281" s="1">
        <v>111</v>
      </c>
      <c r="E281" s="1">
        <v>118</v>
      </c>
      <c r="F281" s="1" t="s">
        <v>8</v>
      </c>
      <c r="G281" s="1" t="s">
        <v>8</v>
      </c>
      <c r="H281" s="1" t="s">
        <v>8</v>
      </c>
      <c r="I281" s="1" t="s">
        <v>8</v>
      </c>
      <c r="J281" s="1"/>
    </row>
    <row r="282" spans="1:10">
      <c r="A282" s="35"/>
      <c r="B282" s="36"/>
      <c r="C282" s="7" t="s">
        <v>6</v>
      </c>
      <c r="D282" s="8">
        <f t="shared" ref="D282:I282" si="116">IF(SUM(D277:D281)=0,"-",SUM(D277:D281))</f>
        <v>540</v>
      </c>
      <c r="E282" s="8">
        <f t="shared" si="116"/>
        <v>696</v>
      </c>
      <c r="F282" s="8" t="str">
        <f t="shared" si="116"/>
        <v>-</v>
      </c>
      <c r="G282" s="8" t="str">
        <f t="shared" si="116"/>
        <v>-</v>
      </c>
      <c r="H282" s="8" t="str">
        <f t="shared" si="116"/>
        <v>-</v>
      </c>
      <c r="I282" s="8" t="str">
        <f t="shared" si="116"/>
        <v>-</v>
      </c>
      <c r="J282" s="8"/>
    </row>
    <row r="283" spans="1:10">
      <c r="A283" s="35"/>
      <c r="B283" s="36"/>
      <c r="C283" s="9" t="s">
        <v>7</v>
      </c>
      <c r="D283" s="10">
        <f t="shared" ref="D283:I283" si="117">IF(D282="-","-",D282/MAX($C277:$C281))</f>
        <v>108</v>
      </c>
      <c r="E283" s="10">
        <f t="shared" si="117"/>
        <v>139.19999999999999</v>
      </c>
      <c r="F283" s="10" t="str">
        <f t="shared" si="117"/>
        <v>-</v>
      </c>
      <c r="G283" s="10" t="str">
        <f t="shared" si="117"/>
        <v>-</v>
      </c>
      <c r="H283" s="10" t="str">
        <f t="shared" si="117"/>
        <v>-</v>
      </c>
      <c r="I283" s="10" t="str">
        <f t="shared" si="117"/>
        <v>-</v>
      </c>
      <c r="J283" s="10"/>
    </row>
    <row r="284" spans="1:10">
      <c r="A284" s="34" t="s">
        <v>31</v>
      </c>
      <c r="B284" s="36">
        <v>44448</v>
      </c>
      <c r="C284" s="1">
        <v>1</v>
      </c>
      <c r="D284" s="1">
        <v>118</v>
      </c>
      <c r="E284" s="1">
        <v>122</v>
      </c>
      <c r="F284" s="1" t="s">
        <v>8</v>
      </c>
      <c r="G284" s="1" t="s">
        <v>8</v>
      </c>
      <c r="H284" s="1" t="s">
        <v>8</v>
      </c>
      <c r="I284" s="1" t="s">
        <v>8</v>
      </c>
      <c r="J284" s="1"/>
    </row>
    <row r="285" spans="1:10">
      <c r="A285" s="35"/>
      <c r="B285" s="36"/>
      <c r="C285" s="1">
        <v>2</v>
      </c>
      <c r="D285" s="1">
        <v>141</v>
      </c>
      <c r="E285" s="1">
        <v>146</v>
      </c>
      <c r="F285" s="1" t="s">
        <v>8</v>
      </c>
      <c r="G285" s="1" t="s">
        <v>8</v>
      </c>
      <c r="H285" s="1" t="s">
        <v>8</v>
      </c>
      <c r="I285" s="1" t="s">
        <v>8</v>
      </c>
      <c r="J285" s="1"/>
    </row>
    <row r="286" spans="1:10">
      <c r="A286" s="35"/>
      <c r="B286" s="36"/>
      <c r="C286" s="1">
        <v>3</v>
      </c>
      <c r="D286" s="1">
        <v>100</v>
      </c>
      <c r="E286" s="1">
        <v>130</v>
      </c>
      <c r="F286" s="1" t="s">
        <v>8</v>
      </c>
      <c r="G286" s="1" t="s">
        <v>8</v>
      </c>
      <c r="H286" s="1" t="s">
        <v>8</v>
      </c>
      <c r="I286" s="1" t="s">
        <v>8</v>
      </c>
      <c r="J286" s="1"/>
    </row>
    <row r="287" spans="1:10">
      <c r="A287" s="35"/>
      <c r="B287" s="36"/>
      <c r="C287" s="1">
        <v>4</v>
      </c>
      <c r="D287" s="1">
        <v>129</v>
      </c>
      <c r="E287" s="1">
        <v>142</v>
      </c>
      <c r="F287" s="1" t="s">
        <v>8</v>
      </c>
      <c r="G287" s="1" t="s">
        <v>8</v>
      </c>
      <c r="H287" s="1" t="s">
        <v>8</v>
      </c>
      <c r="I287" s="1" t="s">
        <v>8</v>
      </c>
      <c r="J287" s="1"/>
    </row>
    <row r="288" spans="1:10">
      <c r="A288" s="35"/>
      <c r="B288" s="36"/>
      <c r="C288" s="1">
        <v>5</v>
      </c>
      <c r="D288" s="1">
        <v>135</v>
      </c>
      <c r="E288" s="1">
        <v>144</v>
      </c>
      <c r="F288" s="1" t="s">
        <v>8</v>
      </c>
      <c r="G288" s="1" t="s">
        <v>8</v>
      </c>
      <c r="H288" s="1" t="s">
        <v>8</v>
      </c>
      <c r="I288" s="1" t="s">
        <v>8</v>
      </c>
      <c r="J288" s="1"/>
    </row>
    <row r="289" spans="1:12">
      <c r="A289" s="35"/>
      <c r="B289" s="36"/>
      <c r="C289" s="1">
        <v>6</v>
      </c>
      <c r="D289" s="1">
        <v>136</v>
      </c>
      <c r="E289" s="1">
        <v>131</v>
      </c>
      <c r="F289" s="1" t="s">
        <v>8</v>
      </c>
      <c r="G289" s="1" t="s">
        <v>8</v>
      </c>
      <c r="H289" s="1" t="s">
        <v>8</v>
      </c>
      <c r="I289" s="1" t="s">
        <v>8</v>
      </c>
      <c r="J289" s="1"/>
    </row>
    <row r="290" spans="1:12">
      <c r="A290" s="35"/>
      <c r="B290" s="36"/>
      <c r="C290" s="7" t="s">
        <v>6</v>
      </c>
      <c r="D290" s="8">
        <f>IF(SUM(D284:D289)=0,"-",SUM(D284:D289))</f>
        <v>759</v>
      </c>
      <c r="E290" s="8">
        <f>IF(SUM(E284:E289)=0,"-",SUM(E284:E289))</f>
        <v>815</v>
      </c>
      <c r="F290" s="8" t="str">
        <f>IF(SUM(F284:F289)=0,"-",SUM(F284:F289))</f>
        <v>-</v>
      </c>
      <c r="G290" s="8" t="str">
        <f>IF(SUM(G284:G288)=0,"-",SUM(G284:G288))</f>
        <v>-</v>
      </c>
      <c r="H290" s="8" t="str">
        <f>IF(SUM(H284:H288)=0,"-",SUM(H284:H288))</f>
        <v>-</v>
      </c>
      <c r="I290" s="8" t="str">
        <f>IF(SUM(I284:I288)=0,"-",SUM(I284:I288))</f>
        <v>-</v>
      </c>
      <c r="J290" s="8"/>
    </row>
    <row r="291" spans="1:12">
      <c r="A291" s="35"/>
      <c r="B291" s="36"/>
      <c r="C291" s="9" t="s">
        <v>7</v>
      </c>
      <c r="D291" s="10">
        <f>IF(D290="-","-",D290/MAX($C284:$C289))</f>
        <v>126.5</v>
      </c>
      <c r="E291" s="10">
        <f>IF(E290="-","-",E290/MAX($C284:$C289))</f>
        <v>135.83333333333334</v>
      </c>
      <c r="F291" s="10" t="str">
        <f>IF(F290="-","-",F290/ (MAX($C284:$C289)-2))</f>
        <v>-</v>
      </c>
      <c r="G291" s="10" t="str">
        <f>IF(G290="-","-",G290/MAX($C284:$C288))</f>
        <v>-</v>
      </c>
      <c r="H291" s="10" t="str">
        <f>IF(H290="-","-",H290/MAX($C284:$C288))</f>
        <v>-</v>
      </c>
      <c r="I291" s="10" t="str">
        <f>IF(I290="-","-",I290/MAX($C284:$C288))</f>
        <v>-</v>
      </c>
      <c r="J291" s="10"/>
    </row>
    <row r="292" spans="1:12">
      <c r="A292" s="34" t="s">
        <v>32</v>
      </c>
      <c r="B292" s="36">
        <v>44468</v>
      </c>
      <c r="C292" s="1">
        <v>1</v>
      </c>
      <c r="D292" s="1">
        <v>84</v>
      </c>
      <c r="E292" s="1">
        <v>164</v>
      </c>
      <c r="F292" s="1" t="s">
        <v>8</v>
      </c>
      <c r="G292" s="1" t="s">
        <v>8</v>
      </c>
      <c r="H292" s="1" t="s">
        <v>8</v>
      </c>
      <c r="I292" s="1" t="s">
        <v>8</v>
      </c>
      <c r="J292" s="1"/>
      <c r="K292" s="22"/>
      <c r="L292" s="22"/>
    </row>
    <row r="293" spans="1:12">
      <c r="A293" s="35"/>
      <c r="B293" s="36"/>
      <c r="C293" s="1">
        <v>2</v>
      </c>
      <c r="D293" s="1">
        <v>87</v>
      </c>
      <c r="E293" s="1">
        <v>120</v>
      </c>
      <c r="F293" s="1" t="s">
        <v>8</v>
      </c>
      <c r="G293" s="1" t="s">
        <v>8</v>
      </c>
      <c r="H293" s="1" t="s">
        <v>8</v>
      </c>
      <c r="I293" s="1" t="s">
        <v>8</v>
      </c>
      <c r="J293" s="1"/>
      <c r="K293" s="22"/>
      <c r="L293" s="22"/>
    </row>
    <row r="294" spans="1:12">
      <c r="A294" s="35"/>
      <c r="B294" s="36"/>
      <c r="C294" s="1">
        <v>3</v>
      </c>
      <c r="D294" s="1">
        <v>124</v>
      </c>
      <c r="E294" s="1">
        <v>155</v>
      </c>
      <c r="F294" s="1" t="s">
        <v>8</v>
      </c>
      <c r="G294" s="1" t="s">
        <v>8</v>
      </c>
      <c r="H294" s="1" t="s">
        <v>8</v>
      </c>
      <c r="I294" s="1" t="s">
        <v>8</v>
      </c>
      <c r="J294" s="1"/>
      <c r="K294" s="22"/>
      <c r="L294" s="22"/>
    </row>
    <row r="295" spans="1:12">
      <c r="A295" s="35"/>
      <c r="B295" s="36"/>
      <c r="C295" s="1">
        <v>4</v>
      </c>
      <c r="D295" s="1">
        <v>110</v>
      </c>
      <c r="E295" s="1">
        <v>130</v>
      </c>
      <c r="F295" s="1" t="s">
        <v>8</v>
      </c>
      <c r="G295" s="1" t="s">
        <v>8</v>
      </c>
      <c r="H295" s="1" t="s">
        <v>8</v>
      </c>
      <c r="I295" s="1" t="s">
        <v>8</v>
      </c>
      <c r="J295" s="1"/>
      <c r="K295" s="22"/>
      <c r="L295" s="22"/>
    </row>
    <row r="296" spans="1:12">
      <c r="A296" s="35"/>
      <c r="B296" s="36"/>
      <c r="C296" s="1">
        <v>5</v>
      </c>
      <c r="D296" s="1">
        <v>107</v>
      </c>
      <c r="E296" s="1">
        <v>120</v>
      </c>
      <c r="F296" s="1" t="s">
        <v>8</v>
      </c>
      <c r="G296" s="1" t="s">
        <v>8</v>
      </c>
      <c r="H296" s="1" t="s">
        <v>8</v>
      </c>
      <c r="I296" s="1" t="s">
        <v>8</v>
      </c>
      <c r="J296" s="1"/>
    </row>
    <row r="297" spans="1:12">
      <c r="A297" s="35"/>
      <c r="B297" s="36"/>
      <c r="C297" s="7" t="s">
        <v>6</v>
      </c>
      <c r="D297" s="8">
        <f t="shared" ref="D297:I297" si="118">IF(SUM(D292:D296)=0,"-",SUM(D292:D296))</f>
        <v>512</v>
      </c>
      <c r="E297" s="8">
        <f t="shared" si="118"/>
        <v>689</v>
      </c>
      <c r="F297" s="8" t="str">
        <f t="shared" si="118"/>
        <v>-</v>
      </c>
      <c r="G297" s="8" t="str">
        <f t="shared" si="118"/>
        <v>-</v>
      </c>
      <c r="H297" s="8" t="str">
        <f t="shared" si="118"/>
        <v>-</v>
      </c>
      <c r="I297" s="8" t="str">
        <f t="shared" si="118"/>
        <v>-</v>
      </c>
      <c r="J297" s="8"/>
    </row>
    <row r="298" spans="1:12">
      <c r="A298" s="35"/>
      <c r="B298" s="36"/>
      <c r="C298" s="9" t="s">
        <v>7</v>
      </c>
      <c r="D298" s="10">
        <f>IF(D297="-","-",D297/MAX($C292:$C296))</f>
        <v>102.4</v>
      </c>
      <c r="E298" s="10">
        <f>IF(E297="-","-",E297/MAX($C292:$C296))</f>
        <v>137.80000000000001</v>
      </c>
      <c r="F298" s="10" t="str">
        <f>IF(F297="-","-",F297/ (MAX($C292:$C296)-2))</f>
        <v>-</v>
      </c>
      <c r="G298" s="10" t="str">
        <f>IF(G297="-","-",G297/MAX($C292:$C296))</f>
        <v>-</v>
      </c>
      <c r="H298" s="10" t="str">
        <f>IF(H297="-","-",H297/MAX($C292:$C296))</f>
        <v>-</v>
      </c>
      <c r="I298" s="10" t="str">
        <f>IF(I297="-","-",I297/MAX($C292:$C296))</f>
        <v>-</v>
      </c>
      <c r="J298" s="10"/>
    </row>
    <row r="299" spans="1:12">
      <c r="A299" s="34" t="s">
        <v>33</v>
      </c>
      <c r="B299" s="36">
        <v>44477</v>
      </c>
      <c r="C299" s="1">
        <v>1</v>
      </c>
      <c r="D299" s="1">
        <v>130</v>
      </c>
      <c r="E299" s="1">
        <v>147</v>
      </c>
      <c r="F299" s="1" t="s">
        <v>8</v>
      </c>
      <c r="G299" s="1" t="s">
        <v>8</v>
      </c>
      <c r="H299" s="1" t="s">
        <v>8</v>
      </c>
      <c r="I299" s="1" t="s">
        <v>8</v>
      </c>
      <c r="J299" s="1"/>
    </row>
    <row r="300" spans="1:12">
      <c r="A300" s="35"/>
      <c r="B300" s="36"/>
      <c r="C300" s="1">
        <v>2</v>
      </c>
      <c r="D300" s="1">
        <v>110</v>
      </c>
      <c r="E300" s="1">
        <v>132</v>
      </c>
      <c r="F300" s="1" t="s">
        <v>8</v>
      </c>
      <c r="G300" s="1" t="s">
        <v>8</v>
      </c>
      <c r="H300" s="1" t="s">
        <v>8</v>
      </c>
      <c r="I300" s="1" t="s">
        <v>8</v>
      </c>
      <c r="J300" s="1"/>
    </row>
    <row r="301" spans="1:12">
      <c r="A301" s="35"/>
      <c r="B301" s="36"/>
      <c r="C301" s="1">
        <v>3</v>
      </c>
      <c r="D301" s="1">
        <v>93</v>
      </c>
      <c r="E301" s="1">
        <v>133</v>
      </c>
      <c r="F301" s="1" t="s">
        <v>8</v>
      </c>
      <c r="G301" s="1" t="s">
        <v>8</v>
      </c>
      <c r="H301" s="1" t="s">
        <v>8</v>
      </c>
      <c r="I301" s="1" t="s">
        <v>8</v>
      </c>
      <c r="J301" s="1"/>
    </row>
    <row r="302" spans="1:12">
      <c r="A302" s="35"/>
      <c r="B302" s="36"/>
      <c r="C302" s="1">
        <v>4</v>
      </c>
      <c r="D302" s="1">
        <v>155</v>
      </c>
      <c r="E302" s="1">
        <v>129</v>
      </c>
      <c r="F302" s="1" t="s">
        <v>8</v>
      </c>
      <c r="G302" s="1" t="s">
        <v>8</v>
      </c>
      <c r="H302" s="1" t="s">
        <v>8</v>
      </c>
      <c r="I302" s="1" t="s">
        <v>8</v>
      </c>
      <c r="J302" s="1"/>
    </row>
    <row r="303" spans="1:12">
      <c r="A303" s="35"/>
      <c r="B303" s="36"/>
      <c r="C303" s="1">
        <v>5</v>
      </c>
      <c r="D303" s="1">
        <v>123</v>
      </c>
      <c r="E303" s="1">
        <v>144</v>
      </c>
      <c r="F303" s="1" t="s">
        <v>8</v>
      </c>
      <c r="G303" s="1" t="s">
        <v>8</v>
      </c>
      <c r="H303" s="1" t="s">
        <v>8</v>
      </c>
      <c r="I303" s="1" t="s">
        <v>8</v>
      </c>
      <c r="J303" s="1"/>
    </row>
    <row r="304" spans="1:12">
      <c r="A304" s="35"/>
      <c r="B304" s="36"/>
      <c r="C304" s="7" t="s">
        <v>6</v>
      </c>
      <c r="D304" s="8">
        <f t="shared" ref="D304:I304" si="119">IF(SUM(D299:D303)=0,"-",SUM(D299:D303))</f>
        <v>611</v>
      </c>
      <c r="E304" s="8">
        <f t="shared" si="119"/>
        <v>685</v>
      </c>
      <c r="F304" s="8" t="str">
        <f t="shared" si="119"/>
        <v>-</v>
      </c>
      <c r="G304" s="8" t="str">
        <f t="shared" si="119"/>
        <v>-</v>
      </c>
      <c r="H304" s="8" t="str">
        <f t="shared" si="119"/>
        <v>-</v>
      </c>
      <c r="I304" s="8" t="str">
        <f t="shared" si="119"/>
        <v>-</v>
      </c>
      <c r="J304" s="8"/>
    </row>
    <row r="305" spans="1:10">
      <c r="A305" s="35"/>
      <c r="B305" s="36"/>
      <c r="C305" s="9" t="s">
        <v>7</v>
      </c>
      <c r="D305" s="10">
        <f>IF(D304="-","-",D304/MAX($C299:$C303))</f>
        <v>122.2</v>
      </c>
      <c r="E305" s="10">
        <f>IF(E304="-","-",E304/MAX($C299:$C303))</f>
        <v>137</v>
      </c>
      <c r="F305" s="10" t="str">
        <f>IF(F304="-","-",F304/ (MAX($C299:$C303)-2))</f>
        <v>-</v>
      </c>
      <c r="G305" s="10" t="str">
        <f>IF(G304="-","-",G304/MAX($C299:$C303))</f>
        <v>-</v>
      </c>
      <c r="H305" s="10" t="str">
        <f>IF(H304="-","-",H304/MAX($C299:$C303))</f>
        <v>-</v>
      </c>
      <c r="I305" s="10" t="str">
        <f>IF(I304="-","-",I304/MAX($C299:$C303))</f>
        <v>-</v>
      </c>
      <c r="J305" s="10"/>
    </row>
    <row r="306" spans="1:10">
      <c r="A306" s="34" t="s">
        <v>34</v>
      </c>
      <c r="B306" s="36">
        <v>44484</v>
      </c>
      <c r="C306" s="1">
        <v>1</v>
      </c>
      <c r="D306" s="1">
        <v>91</v>
      </c>
      <c r="E306" s="1">
        <v>147</v>
      </c>
      <c r="F306" s="1" t="s">
        <v>8</v>
      </c>
      <c r="G306" s="1" t="s">
        <v>8</v>
      </c>
      <c r="H306" s="1" t="s">
        <v>8</v>
      </c>
      <c r="I306" s="1" t="s">
        <v>8</v>
      </c>
      <c r="J306" s="1"/>
    </row>
    <row r="307" spans="1:10">
      <c r="A307" s="35"/>
      <c r="B307" s="36"/>
      <c r="C307" s="1">
        <v>2</v>
      </c>
      <c r="D307" s="1">
        <v>154</v>
      </c>
      <c r="E307" s="1">
        <v>133</v>
      </c>
      <c r="F307" s="1" t="s">
        <v>8</v>
      </c>
      <c r="G307" s="1" t="s">
        <v>8</v>
      </c>
      <c r="H307" s="1" t="s">
        <v>8</v>
      </c>
      <c r="I307" s="1" t="s">
        <v>8</v>
      </c>
      <c r="J307" s="1"/>
    </row>
    <row r="308" spans="1:10">
      <c r="A308" s="35"/>
      <c r="B308" s="36"/>
      <c r="C308" s="1">
        <v>3</v>
      </c>
      <c r="D308" s="1">
        <v>126</v>
      </c>
      <c r="E308" s="1">
        <v>136</v>
      </c>
      <c r="F308" s="1" t="s">
        <v>8</v>
      </c>
      <c r="G308" s="1" t="s">
        <v>8</v>
      </c>
      <c r="H308" s="1" t="s">
        <v>8</v>
      </c>
      <c r="I308" s="1" t="s">
        <v>8</v>
      </c>
      <c r="J308" s="1"/>
    </row>
    <row r="309" spans="1:10">
      <c r="A309" s="35"/>
      <c r="B309" s="36"/>
      <c r="C309" s="1">
        <v>4</v>
      </c>
      <c r="D309" s="1">
        <v>100</v>
      </c>
      <c r="E309" s="1">
        <v>119</v>
      </c>
      <c r="F309" s="1" t="s">
        <v>8</v>
      </c>
      <c r="G309" s="1" t="s">
        <v>8</v>
      </c>
      <c r="H309" s="1" t="s">
        <v>8</v>
      </c>
      <c r="I309" s="1" t="s">
        <v>8</v>
      </c>
      <c r="J309" s="1"/>
    </row>
    <row r="310" spans="1:10">
      <c r="A310" s="35"/>
      <c r="B310" s="36"/>
      <c r="C310" s="1">
        <v>5</v>
      </c>
      <c r="D310" s="1">
        <v>138</v>
      </c>
      <c r="E310" s="1">
        <v>151</v>
      </c>
      <c r="F310" s="1" t="s">
        <v>8</v>
      </c>
      <c r="G310" s="1" t="s">
        <v>8</v>
      </c>
      <c r="H310" s="1" t="s">
        <v>8</v>
      </c>
      <c r="I310" s="1" t="s">
        <v>8</v>
      </c>
      <c r="J310" s="1"/>
    </row>
    <row r="311" spans="1:10">
      <c r="A311" s="35"/>
      <c r="B311" s="36"/>
      <c r="C311" s="7" t="s">
        <v>6</v>
      </c>
      <c r="D311" s="8">
        <f t="shared" ref="D311:I311" si="120">IF(SUM(D306:D310)=0,"-",SUM(D306:D310))</f>
        <v>609</v>
      </c>
      <c r="E311" s="8">
        <f t="shared" si="120"/>
        <v>686</v>
      </c>
      <c r="F311" s="8" t="str">
        <f t="shared" si="120"/>
        <v>-</v>
      </c>
      <c r="G311" s="8" t="str">
        <f t="shared" si="120"/>
        <v>-</v>
      </c>
      <c r="H311" s="8" t="str">
        <f t="shared" si="120"/>
        <v>-</v>
      </c>
      <c r="I311" s="8" t="str">
        <f t="shared" si="120"/>
        <v>-</v>
      </c>
      <c r="J311" s="8"/>
    </row>
    <row r="312" spans="1:10">
      <c r="A312" s="35"/>
      <c r="B312" s="36"/>
      <c r="C312" s="9" t="s">
        <v>7</v>
      </c>
      <c r="D312" s="10">
        <f>IF(D311="-","-",D311/MAX($C306:$C310))</f>
        <v>121.8</v>
      </c>
      <c r="E312" s="10">
        <f>IF(E311="-","-",E311/MAX($C306:$C310))</f>
        <v>137.19999999999999</v>
      </c>
      <c r="F312" s="10" t="str">
        <f>IF(F311="-","-",F311/ (MAX($C306:$C310)-2))</f>
        <v>-</v>
      </c>
      <c r="G312" s="10" t="str">
        <f>IF(G311="-","-",G311/MAX($C306:$C310))</f>
        <v>-</v>
      </c>
      <c r="H312" s="10" t="str">
        <f>IF(H311="-","-",H311/MAX($C306:$C310))</f>
        <v>-</v>
      </c>
      <c r="I312" s="10" t="str">
        <f>IF(I311="-","-",I311/MAX($C306:$C310))</f>
        <v>-</v>
      </c>
      <c r="J312" s="10"/>
    </row>
    <row r="313" spans="1:10">
      <c r="A313" s="34" t="s">
        <v>35</v>
      </c>
      <c r="B313" s="36">
        <v>44490</v>
      </c>
      <c r="C313" s="1">
        <v>1</v>
      </c>
      <c r="D313" s="1">
        <v>78</v>
      </c>
      <c r="E313" s="1">
        <v>112</v>
      </c>
      <c r="F313" s="1" t="s">
        <v>8</v>
      </c>
      <c r="G313" s="1" t="s">
        <v>8</v>
      </c>
      <c r="H313" s="1" t="s">
        <v>8</v>
      </c>
      <c r="I313" s="1" t="s">
        <v>8</v>
      </c>
      <c r="J313" s="1"/>
    </row>
    <row r="314" spans="1:10">
      <c r="A314" s="35"/>
      <c r="B314" s="36"/>
      <c r="C314" s="1">
        <v>2</v>
      </c>
      <c r="D314" s="1">
        <v>132</v>
      </c>
      <c r="E314" s="1">
        <v>138</v>
      </c>
      <c r="F314" s="1" t="s">
        <v>8</v>
      </c>
      <c r="G314" s="1" t="s">
        <v>8</v>
      </c>
      <c r="H314" s="1" t="s">
        <v>8</v>
      </c>
      <c r="I314" s="1" t="s">
        <v>8</v>
      </c>
      <c r="J314" s="1"/>
    </row>
    <row r="315" spans="1:10">
      <c r="A315" s="35"/>
      <c r="B315" s="36"/>
      <c r="C315" s="1">
        <v>3</v>
      </c>
      <c r="D315" s="1">
        <v>122</v>
      </c>
      <c r="E315" s="1">
        <v>126</v>
      </c>
      <c r="F315" s="1" t="s">
        <v>8</v>
      </c>
      <c r="G315" s="1" t="s">
        <v>8</v>
      </c>
      <c r="H315" s="1" t="s">
        <v>8</v>
      </c>
      <c r="I315" s="1" t="s">
        <v>8</v>
      </c>
      <c r="J315" s="1"/>
    </row>
    <row r="316" spans="1:10">
      <c r="A316" s="35"/>
      <c r="B316" s="36"/>
      <c r="C316" s="1">
        <v>4</v>
      </c>
      <c r="D316" s="1">
        <v>108</v>
      </c>
      <c r="E316" s="1">
        <v>106</v>
      </c>
      <c r="F316" s="1" t="s">
        <v>8</v>
      </c>
      <c r="G316" s="1" t="s">
        <v>8</v>
      </c>
      <c r="H316" s="1" t="s">
        <v>8</v>
      </c>
      <c r="I316" s="1" t="s">
        <v>8</v>
      </c>
      <c r="J316" s="1"/>
    </row>
    <row r="317" spans="1:10">
      <c r="A317" s="35"/>
      <c r="B317" s="36"/>
      <c r="C317" s="1">
        <v>5</v>
      </c>
      <c r="D317" s="1">
        <v>141</v>
      </c>
      <c r="E317" s="1">
        <v>105</v>
      </c>
      <c r="F317" s="1" t="s">
        <v>8</v>
      </c>
      <c r="G317" s="1" t="s">
        <v>8</v>
      </c>
      <c r="H317" s="1" t="s">
        <v>8</v>
      </c>
      <c r="I317" s="1" t="s">
        <v>8</v>
      </c>
      <c r="J317" s="1"/>
    </row>
    <row r="318" spans="1:10">
      <c r="A318" s="35"/>
      <c r="B318" s="36"/>
      <c r="C318" s="7" t="s">
        <v>6</v>
      </c>
      <c r="D318" s="8">
        <f t="shared" ref="D318:I318" si="121">IF(SUM(D313:D317)=0,"-",SUM(D313:D317))</f>
        <v>581</v>
      </c>
      <c r="E318" s="8">
        <f t="shared" si="121"/>
        <v>587</v>
      </c>
      <c r="F318" s="8" t="str">
        <f t="shared" si="121"/>
        <v>-</v>
      </c>
      <c r="G318" s="8" t="str">
        <f t="shared" si="121"/>
        <v>-</v>
      </c>
      <c r="H318" s="8" t="str">
        <f t="shared" si="121"/>
        <v>-</v>
      </c>
      <c r="I318" s="8" t="str">
        <f t="shared" si="121"/>
        <v>-</v>
      </c>
      <c r="J318" s="8"/>
    </row>
    <row r="319" spans="1:10">
      <c r="A319" s="35"/>
      <c r="B319" s="36"/>
      <c r="C319" s="9" t="s">
        <v>7</v>
      </c>
      <c r="D319" s="10">
        <f>IF(D318="-","-",D318/MAX($C313:$C317))</f>
        <v>116.2</v>
      </c>
      <c r="E319" s="10">
        <f>IF(E318="-","-",E318/MAX($C313:$C317))</f>
        <v>117.4</v>
      </c>
      <c r="F319" s="10" t="str">
        <f>IF(F318="-","-",F318/ (MAX($C313:$C317)-2))</f>
        <v>-</v>
      </c>
      <c r="G319" s="10" t="str">
        <f>IF(G318="-","-",G318/MAX($C313:$C317))</f>
        <v>-</v>
      </c>
      <c r="H319" s="10" t="str">
        <f>IF(H318="-","-",H318/MAX($C313:$C317))</f>
        <v>-</v>
      </c>
      <c r="I319" s="10" t="str">
        <f>IF(I318="-","-",I318/MAX($C313:$C317))</f>
        <v>-</v>
      </c>
      <c r="J319" s="10"/>
    </row>
    <row r="320" spans="1:10">
      <c r="A320" s="34" t="s">
        <v>36</v>
      </c>
      <c r="B320" s="36">
        <v>44496</v>
      </c>
      <c r="C320" s="1">
        <v>1</v>
      </c>
      <c r="D320" s="1">
        <v>117</v>
      </c>
      <c r="E320" s="1">
        <v>137</v>
      </c>
      <c r="F320" s="1" t="s">
        <v>8</v>
      </c>
      <c r="G320" s="1" t="s">
        <v>8</v>
      </c>
      <c r="H320" s="1" t="s">
        <v>8</v>
      </c>
      <c r="I320" s="1" t="s">
        <v>8</v>
      </c>
      <c r="J320" s="1"/>
    </row>
    <row r="321" spans="1:10">
      <c r="A321" s="35"/>
      <c r="B321" s="36"/>
      <c r="C321" s="1">
        <v>2</v>
      </c>
      <c r="D321" s="1">
        <v>107</v>
      </c>
      <c r="E321" s="1">
        <v>133</v>
      </c>
      <c r="F321" s="1" t="s">
        <v>8</v>
      </c>
      <c r="G321" s="1" t="s">
        <v>8</v>
      </c>
      <c r="H321" s="1" t="s">
        <v>8</v>
      </c>
      <c r="I321" s="1" t="s">
        <v>8</v>
      </c>
      <c r="J321" s="1"/>
    </row>
    <row r="322" spans="1:10">
      <c r="A322" s="35"/>
      <c r="B322" s="36"/>
      <c r="C322" s="1">
        <v>3</v>
      </c>
      <c r="D322" s="1">
        <v>129</v>
      </c>
      <c r="E322" s="1">
        <v>126</v>
      </c>
      <c r="F322" s="1" t="s">
        <v>8</v>
      </c>
      <c r="G322" s="1" t="s">
        <v>8</v>
      </c>
      <c r="H322" s="1" t="s">
        <v>8</v>
      </c>
      <c r="I322" s="1" t="s">
        <v>8</v>
      </c>
      <c r="J322" s="1"/>
    </row>
    <row r="323" spans="1:10">
      <c r="A323" s="35"/>
      <c r="B323" s="36"/>
      <c r="C323" s="1">
        <v>4</v>
      </c>
      <c r="D323" s="1">
        <v>135</v>
      </c>
      <c r="E323" s="1">
        <v>160</v>
      </c>
      <c r="F323" s="1" t="s">
        <v>8</v>
      </c>
      <c r="G323" s="1" t="s">
        <v>8</v>
      </c>
      <c r="H323" s="1" t="s">
        <v>8</v>
      </c>
      <c r="I323" s="1" t="s">
        <v>8</v>
      </c>
      <c r="J323" s="1"/>
    </row>
    <row r="324" spans="1:10">
      <c r="A324" s="35"/>
      <c r="B324" s="36"/>
      <c r="C324" s="1">
        <v>5</v>
      </c>
      <c r="D324" s="1">
        <v>127</v>
      </c>
      <c r="E324" s="1">
        <v>111</v>
      </c>
      <c r="F324" s="1" t="s">
        <v>8</v>
      </c>
      <c r="G324" s="1" t="s">
        <v>8</v>
      </c>
      <c r="H324" s="1" t="s">
        <v>8</v>
      </c>
      <c r="I324" s="1" t="s">
        <v>8</v>
      </c>
      <c r="J324" s="1"/>
    </row>
    <row r="325" spans="1:10">
      <c r="A325" s="35"/>
      <c r="B325" s="36"/>
      <c r="C325" s="7" t="s">
        <v>6</v>
      </c>
      <c r="D325" s="8">
        <f t="shared" ref="D325:I325" si="122">IF(SUM(D320:D324)=0,"-",SUM(D320:D324))</f>
        <v>615</v>
      </c>
      <c r="E325" s="8">
        <f t="shared" si="122"/>
        <v>667</v>
      </c>
      <c r="F325" s="8" t="str">
        <f t="shared" si="122"/>
        <v>-</v>
      </c>
      <c r="G325" s="8" t="str">
        <f t="shared" si="122"/>
        <v>-</v>
      </c>
      <c r="H325" s="8" t="str">
        <f t="shared" si="122"/>
        <v>-</v>
      </c>
      <c r="I325" s="8" t="str">
        <f t="shared" si="122"/>
        <v>-</v>
      </c>
      <c r="J325" s="8"/>
    </row>
    <row r="326" spans="1:10">
      <c r="A326" s="35"/>
      <c r="B326" s="36"/>
      <c r="C326" s="9" t="s">
        <v>7</v>
      </c>
      <c r="D326" s="10">
        <f>IF(D325="-","-",D325/MAX($C320:$C324))</f>
        <v>123</v>
      </c>
      <c r="E326" s="10">
        <f>IF(E325="-","-",E325/MAX($C320:$C324))</f>
        <v>133.4</v>
      </c>
      <c r="F326" s="10" t="str">
        <f>IF(F325="-","-",F325/ (MAX($C320:$C324)-2))</f>
        <v>-</v>
      </c>
      <c r="G326" s="10" t="str">
        <f>IF(G325="-","-",G325/MAX($C320:$C324))</f>
        <v>-</v>
      </c>
      <c r="H326" s="10" t="str">
        <f>IF(H325="-","-",H325/MAX($C320:$C324))</f>
        <v>-</v>
      </c>
      <c r="I326" s="10" t="str">
        <f>IF(I325="-","-",I325/MAX($C320:$C324))</f>
        <v>-</v>
      </c>
      <c r="J326" s="10"/>
    </row>
    <row r="327" spans="1:10">
      <c r="A327" s="34" t="s">
        <v>37</v>
      </c>
      <c r="B327" s="36">
        <v>44505</v>
      </c>
      <c r="C327" s="1">
        <v>1</v>
      </c>
      <c r="D327" s="1">
        <v>89</v>
      </c>
      <c r="E327" s="1" t="s">
        <v>8</v>
      </c>
      <c r="F327" s="1" t="s">
        <v>8</v>
      </c>
      <c r="G327" s="1" t="s">
        <v>8</v>
      </c>
      <c r="H327" s="1" t="s">
        <v>8</v>
      </c>
      <c r="I327" s="1" t="s">
        <v>8</v>
      </c>
      <c r="J327" s="1"/>
    </row>
    <row r="328" spans="1:10">
      <c r="A328" s="35"/>
      <c r="B328" s="36"/>
      <c r="C328" s="1">
        <v>2</v>
      </c>
      <c r="D328" s="1">
        <v>137</v>
      </c>
      <c r="E328" s="1" t="s">
        <v>8</v>
      </c>
      <c r="F328" s="1" t="s">
        <v>8</v>
      </c>
      <c r="G328" s="1" t="s">
        <v>8</v>
      </c>
      <c r="H328" s="1" t="s">
        <v>8</v>
      </c>
      <c r="I328" s="1" t="s">
        <v>8</v>
      </c>
      <c r="J328" s="1"/>
    </row>
    <row r="329" spans="1:10">
      <c r="A329" s="35"/>
      <c r="B329" s="36"/>
      <c r="C329" s="1">
        <v>3</v>
      </c>
      <c r="D329" s="1">
        <v>102</v>
      </c>
      <c r="E329" s="1" t="s">
        <v>8</v>
      </c>
      <c r="F329" s="1" t="s">
        <v>8</v>
      </c>
      <c r="G329" s="1" t="s">
        <v>8</v>
      </c>
      <c r="H329" s="1" t="s">
        <v>8</v>
      </c>
      <c r="I329" s="1" t="s">
        <v>8</v>
      </c>
      <c r="J329" s="1"/>
    </row>
    <row r="330" spans="1:10">
      <c r="A330" s="35"/>
      <c r="B330" s="36"/>
      <c r="C330" s="1">
        <v>4</v>
      </c>
      <c r="D330" s="1">
        <v>111</v>
      </c>
      <c r="E330" s="1" t="s">
        <v>8</v>
      </c>
      <c r="F330" s="1" t="s">
        <v>8</v>
      </c>
      <c r="G330" s="1" t="s">
        <v>8</v>
      </c>
      <c r="H330" s="1" t="s">
        <v>8</v>
      </c>
      <c r="I330" s="1" t="s">
        <v>8</v>
      </c>
      <c r="J330" s="1"/>
    </row>
    <row r="331" spans="1:10">
      <c r="A331" s="35"/>
      <c r="B331" s="36"/>
      <c r="C331" s="1">
        <v>5</v>
      </c>
      <c r="D331" s="1">
        <v>130</v>
      </c>
      <c r="E331" s="1" t="s">
        <v>8</v>
      </c>
      <c r="F331" s="1" t="s">
        <v>8</v>
      </c>
      <c r="G331" s="1" t="s">
        <v>8</v>
      </c>
      <c r="H331" s="1" t="s">
        <v>8</v>
      </c>
      <c r="I331" s="1" t="s">
        <v>8</v>
      </c>
      <c r="J331" s="1"/>
    </row>
    <row r="332" spans="1:10">
      <c r="A332" s="35"/>
      <c r="B332" s="36"/>
      <c r="C332" s="7" t="s">
        <v>6</v>
      </c>
      <c r="D332" s="8">
        <f t="shared" ref="D332:I332" si="123">IF(SUM(D327:D331)=0,"-",SUM(D327:D331))</f>
        <v>569</v>
      </c>
      <c r="E332" s="8" t="str">
        <f t="shared" si="123"/>
        <v>-</v>
      </c>
      <c r="F332" s="8" t="str">
        <f t="shared" si="123"/>
        <v>-</v>
      </c>
      <c r="G332" s="8" t="str">
        <f t="shared" si="123"/>
        <v>-</v>
      </c>
      <c r="H332" s="8" t="str">
        <f t="shared" si="123"/>
        <v>-</v>
      </c>
      <c r="I332" s="8" t="str">
        <f t="shared" si="123"/>
        <v>-</v>
      </c>
      <c r="J332" s="8"/>
    </row>
    <row r="333" spans="1:10">
      <c r="A333" s="35"/>
      <c r="B333" s="36"/>
      <c r="C333" s="9" t="s">
        <v>7</v>
      </c>
      <c r="D333" s="10">
        <f>IF(D332="-","-",D332/MAX($C327:$C331))</f>
        <v>113.8</v>
      </c>
      <c r="E333" s="10" t="str">
        <f>IF(E332="-","-",E332/MAX($C327:$C331))</f>
        <v>-</v>
      </c>
      <c r="F333" s="10" t="str">
        <f>IF(F332="-","-",F332/ (MAX($C327:$C331)-2))</f>
        <v>-</v>
      </c>
      <c r="G333" s="10" t="str">
        <f>IF(G332="-","-",G332/MAX($C327:$C331))</f>
        <v>-</v>
      </c>
      <c r="H333" s="10" t="str">
        <f>IF(H332="-","-",H332/MAX($C327:$C331))</f>
        <v>-</v>
      </c>
      <c r="I333" s="10" t="str">
        <f>IF(I332="-","-",I332/MAX($C327:$C331))</f>
        <v>-</v>
      </c>
      <c r="J333" s="10"/>
    </row>
    <row r="334" spans="1:10">
      <c r="A334" s="34" t="s">
        <v>38</v>
      </c>
      <c r="B334" s="36">
        <v>44511</v>
      </c>
      <c r="C334" s="1">
        <v>1</v>
      </c>
      <c r="D334" s="1">
        <v>99</v>
      </c>
      <c r="E334" s="1">
        <v>142</v>
      </c>
      <c r="F334" s="1" t="s">
        <v>8</v>
      </c>
      <c r="G334" s="1" t="s">
        <v>8</v>
      </c>
      <c r="H334" s="1" t="s">
        <v>8</v>
      </c>
      <c r="I334" s="1" t="s">
        <v>8</v>
      </c>
      <c r="J334" s="1"/>
    </row>
    <row r="335" spans="1:10">
      <c r="A335" s="35"/>
      <c r="B335" s="36"/>
      <c r="C335" s="1">
        <v>2</v>
      </c>
      <c r="D335" s="1">
        <v>135</v>
      </c>
      <c r="E335" s="1">
        <v>127</v>
      </c>
      <c r="F335" s="1" t="s">
        <v>8</v>
      </c>
      <c r="G335" s="1" t="s">
        <v>8</v>
      </c>
      <c r="H335" s="1" t="s">
        <v>8</v>
      </c>
      <c r="I335" s="1" t="s">
        <v>8</v>
      </c>
      <c r="J335" s="1"/>
    </row>
    <row r="336" spans="1:10">
      <c r="A336" s="35"/>
      <c r="B336" s="36"/>
      <c r="C336" s="1">
        <v>3</v>
      </c>
      <c r="D336" s="1">
        <v>123</v>
      </c>
      <c r="E336" s="1">
        <v>101</v>
      </c>
      <c r="F336" s="1" t="s">
        <v>8</v>
      </c>
      <c r="G336" s="1" t="s">
        <v>8</v>
      </c>
      <c r="H336" s="1" t="s">
        <v>8</v>
      </c>
      <c r="I336" s="1" t="s">
        <v>8</v>
      </c>
      <c r="J336" s="1"/>
    </row>
    <row r="337" spans="1:10">
      <c r="A337" s="35"/>
      <c r="B337" s="36"/>
      <c r="C337" s="1">
        <v>4</v>
      </c>
      <c r="D337" s="1">
        <v>131</v>
      </c>
      <c r="E337" s="1">
        <v>142</v>
      </c>
      <c r="F337" s="1" t="s">
        <v>8</v>
      </c>
      <c r="G337" s="1" t="s">
        <v>8</v>
      </c>
      <c r="H337" s="1" t="s">
        <v>8</v>
      </c>
      <c r="I337" s="1" t="s">
        <v>8</v>
      </c>
      <c r="J337" s="1"/>
    </row>
    <row r="338" spans="1:10">
      <c r="A338" s="35"/>
      <c r="B338" s="36"/>
      <c r="C338" s="1">
        <v>5</v>
      </c>
      <c r="D338" s="1">
        <v>110</v>
      </c>
      <c r="E338" s="1">
        <v>151</v>
      </c>
      <c r="F338" s="1" t="s">
        <v>8</v>
      </c>
      <c r="G338" s="1" t="s">
        <v>8</v>
      </c>
      <c r="H338" s="1" t="s">
        <v>8</v>
      </c>
      <c r="I338" s="1" t="s">
        <v>8</v>
      </c>
      <c r="J338" s="1"/>
    </row>
    <row r="339" spans="1:10">
      <c r="A339" s="35"/>
      <c r="B339" s="36"/>
      <c r="C339" s="7" t="s">
        <v>6</v>
      </c>
      <c r="D339" s="8">
        <f t="shared" ref="D339:I339" si="124">IF(SUM(D334:D338)=0,"-",SUM(D334:D338))</f>
        <v>598</v>
      </c>
      <c r="E339" s="8">
        <f t="shared" si="124"/>
        <v>663</v>
      </c>
      <c r="F339" s="8" t="str">
        <f t="shared" si="124"/>
        <v>-</v>
      </c>
      <c r="G339" s="8" t="str">
        <f t="shared" si="124"/>
        <v>-</v>
      </c>
      <c r="H339" s="8" t="str">
        <f t="shared" si="124"/>
        <v>-</v>
      </c>
      <c r="I339" s="8" t="str">
        <f t="shared" si="124"/>
        <v>-</v>
      </c>
      <c r="J339" s="8"/>
    </row>
    <row r="340" spans="1:10">
      <c r="A340" s="35"/>
      <c r="B340" s="36"/>
      <c r="C340" s="9" t="s">
        <v>7</v>
      </c>
      <c r="D340" s="10">
        <f>IF(D339="-","-",D339/MAX($C334:$C338))</f>
        <v>119.6</v>
      </c>
      <c r="E340" s="10">
        <f>IF(E339="-","-",E339/MAX($C334:$C338))</f>
        <v>132.6</v>
      </c>
      <c r="F340" s="10" t="str">
        <f>IF(F339="-","-",F339/ (MAX($C334:$C338)-2))</f>
        <v>-</v>
      </c>
      <c r="G340" s="10" t="str">
        <f>IF(G339="-","-",G339/MAX($C334:$C338))</f>
        <v>-</v>
      </c>
      <c r="H340" s="10" t="str">
        <f>IF(H339="-","-",H339/MAX($C334:$C338))</f>
        <v>-</v>
      </c>
      <c r="I340" s="10" t="str">
        <f>IF(I339="-","-",I339/MAX($C334:$C338))</f>
        <v>-</v>
      </c>
      <c r="J340" s="10"/>
    </row>
    <row r="341" spans="1:10">
      <c r="A341" s="34" t="s">
        <v>39</v>
      </c>
      <c r="B341" s="36">
        <v>44533</v>
      </c>
      <c r="C341" s="1">
        <v>1</v>
      </c>
      <c r="D341" s="1">
        <v>110</v>
      </c>
      <c r="E341" s="1" t="s">
        <v>8</v>
      </c>
      <c r="F341" s="1" t="s">
        <v>8</v>
      </c>
      <c r="G341" s="1" t="s">
        <v>8</v>
      </c>
      <c r="H341" s="1" t="s">
        <v>8</v>
      </c>
      <c r="I341" s="1" t="s">
        <v>8</v>
      </c>
      <c r="J341" s="1"/>
    </row>
    <row r="342" spans="1:10">
      <c r="A342" s="35"/>
      <c r="B342" s="36"/>
      <c r="C342" s="1">
        <v>2</v>
      </c>
      <c r="D342" s="1">
        <v>169</v>
      </c>
      <c r="E342" s="1" t="s">
        <v>8</v>
      </c>
      <c r="F342" s="1" t="s">
        <v>8</v>
      </c>
      <c r="G342" s="1" t="s">
        <v>8</v>
      </c>
      <c r="H342" s="1" t="s">
        <v>8</v>
      </c>
      <c r="I342" s="1" t="s">
        <v>8</v>
      </c>
      <c r="J342" s="1"/>
    </row>
    <row r="343" spans="1:10">
      <c r="A343" s="35"/>
      <c r="B343" s="36"/>
      <c r="C343" s="1">
        <v>3</v>
      </c>
      <c r="D343" s="1">
        <v>98</v>
      </c>
      <c r="E343" s="1" t="s">
        <v>8</v>
      </c>
      <c r="F343" s="1" t="s">
        <v>8</v>
      </c>
      <c r="G343" s="1" t="s">
        <v>8</v>
      </c>
      <c r="H343" s="1" t="s">
        <v>8</v>
      </c>
      <c r="I343" s="1" t="s">
        <v>8</v>
      </c>
      <c r="J343" s="1"/>
    </row>
    <row r="344" spans="1:10">
      <c r="A344" s="35"/>
      <c r="B344" s="36"/>
      <c r="C344" s="1">
        <v>4</v>
      </c>
      <c r="D344" s="1">
        <v>132</v>
      </c>
      <c r="E344" s="1" t="s">
        <v>8</v>
      </c>
      <c r="F344" s="1" t="s">
        <v>8</v>
      </c>
      <c r="G344" s="1" t="s">
        <v>8</v>
      </c>
      <c r="H344" s="1" t="s">
        <v>8</v>
      </c>
      <c r="I344" s="1" t="s">
        <v>8</v>
      </c>
      <c r="J344" s="1"/>
    </row>
    <row r="345" spans="1:10">
      <c r="A345" s="35"/>
      <c r="B345" s="36"/>
      <c r="C345" s="1">
        <v>5</v>
      </c>
      <c r="D345" s="1">
        <v>133</v>
      </c>
      <c r="E345" s="1" t="s">
        <v>8</v>
      </c>
      <c r="F345" s="1" t="s">
        <v>8</v>
      </c>
      <c r="G345" s="1" t="s">
        <v>8</v>
      </c>
      <c r="H345" s="1" t="s">
        <v>8</v>
      </c>
      <c r="I345" s="1" t="s">
        <v>8</v>
      </c>
      <c r="J345" s="1"/>
    </row>
    <row r="346" spans="1:10">
      <c r="A346" s="35"/>
      <c r="B346" s="36"/>
      <c r="C346" s="1">
        <v>6</v>
      </c>
      <c r="D346" s="1">
        <v>90</v>
      </c>
      <c r="E346" s="1" t="s">
        <v>8</v>
      </c>
      <c r="F346" s="1" t="s">
        <v>8</v>
      </c>
      <c r="G346" s="1" t="s">
        <v>8</v>
      </c>
      <c r="H346" s="1" t="s">
        <v>8</v>
      </c>
      <c r="I346" s="1" t="s">
        <v>8</v>
      </c>
      <c r="J346" s="1"/>
    </row>
    <row r="347" spans="1:10">
      <c r="A347" s="35"/>
      <c r="B347" s="36"/>
      <c r="C347" s="7" t="s">
        <v>6</v>
      </c>
      <c r="D347" s="8">
        <f>IF(SUM(D341:D346)=0,"-",SUM(D341:D346))</f>
        <v>732</v>
      </c>
      <c r="E347" s="8" t="str">
        <f>IF(SUM(E341:E346)=0,"-",SUM(E341:E346))</f>
        <v>-</v>
      </c>
      <c r="F347" s="8" t="str">
        <f>IF(SUM(F341:F346)=0,"-",SUM(F341:F346))</f>
        <v>-</v>
      </c>
      <c r="G347" s="8" t="str">
        <f>IF(SUM(G341:G345)=0,"-",SUM(G341:G345))</f>
        <v>-</v>
      </c>
      <c r="H347" s="8" t="str">
        <f>IF(SUM(H341:H345)=0,"-",SUM(H341:H345))</f>
        <v>-</v>
      </c>
      <c r="I347" s="8" t="str">
        <f>IF(SUM(I341:I345)=0,"-",SUM(I341:I345))</f>
        <v>-</v>
      </c>
      <c r="J347" s="8"/>
    </row>
    <row r="348" spans="1:10">
      <c r="A348" s="35"/>
      <c r="B348" s="36"/>
      <c r="C348" s="9" t="s">
        <v>7</v>
      </c>
      <c r="D348" s="10">
        <f>IF(D347="-","-",D347/MAX($C341:$C346))</f>
        <v>122</v>
      </c>
      <c r="E348" s="10" t="str">
        <f>IF(E347="-","-",E347/MAX($C341:$C346))</f>
        <v>-</v>
      </c>
      <c r="F348" s="10" t="str">
        <f>IF(F347="-","-",F347/ (MAX($C341:$C346)-2))</f>
        <v>-</v>
      </c>
      <c r="G348" s="10" t="str">
        <f>IF(G347="-","-",G347/MAX($C341:$C345))</f>
        <v>-</v>
      </c>
      <c r="H348" s="10" t="str">
        <f>IF(H347="-","-",H347/MAX($C341:$C345))</f>
        <v>-</v>
      </c>
      <c r="I348" s="10" t="str">
        <f>IF(I347="-","-",I347/MAX($C341:$C345))</f>
        <v>-</v>
      </c>
      <c r="J348" s="10"/>
    </row>
    <row r="349" spans="1:10">
      <c r="A349" s="34" t="s">
        <v>40</v>
      </c>
      <c r="B349" s="36">
        <v>44540</v>
      </c>
      <c r="C349" s="1">
        <v>1</v>
      </c>
      <c r="D349" s="1">
        <v>82</v>
      </c>
      <c r="E349" s="1">
        <v>153</v>
      </c>
      <c r="F349" s="1" t="s">
        <v>8</v>
      </c>
      <c r="G349" s="1" t="s">
        <v>8</v>
      </c>
      <c r="H349" s="1" t="s">
        <v>8</v>
      </c>
      <c r="I349" s="1" t="s">
        <v>8</v>
      </c>
      <c r="J349" s="1"/>
    </row>
    <row r="350" spans="1:10">
      <c r="A350" s="35"/>
      <c r="B350" s="36"/>
      <c r="C350" s="1">
        <v>2</v>
      </c>
      <c r="D350" s="1">
        <v>121</v>
      </c>
      <c r="E350" s="1">
        <v>178</v>
      </c>
      <c r="F350" s="1" t="s">
        <v>8</v>
      </c>
      <c r="G350" s="1" t="s">
        <v>8</v>
      </c>
      <c r="H350" s="1" t="s">
        <v>8</v>
      </c>
      <c r="I350" s="1" t="s">
        <v>8</v>
      </c>
      <c r="J350" s="1"/>
    </row>
    <row r="351" spans="1:10">
      <c r="A351" s="35"/>
      <c r="B351" s="36"/>
      <c r="C351" s="1">
        <v>3</v>
      </c>
      <c r="D351" s="1">
        <v>109</v>
      </c>
      <c r="E351" s="1">
        <v>127</v>
      </c>
      <c r="F351" s="1" t="s">
        <v>8</v>
      </c>
      <c r="G351" s="1" t="s">
        <v>8</v>
      </c>
      <c r="H351" s="1" t="s">
        <v>8</v>
      </c>
      <c r="I351" s="1" t="s">
        <v>8</v>
      </c>
      <c r="J351" s="1"/>
    </row>
    <row r="352" spans="1:10">
      <c r="A352" s="35"/>
      <c r="B352" s="36"/>
      <c r="C352" s="1">
        <v>4</v>
      </c>
      <c r="D352" s="1">
        <v>127</v>
      </c>
      <c r="E352" s="1">
        <v>149</v>
      </c>
      <c r="F352" s="1" t="s">
        <v>8</v>
      </c>
      <c r="G352" s="1" t="s">
        <v>8</v>
      </c>
      <c r="H352" s="1" t="s">
        <v>8</v>
      </c>
      <c r="I352" s="1" t="s">
        <v>8</v>
      </c>
      <c r="J352" s="1"/>
    </row>
    <row r="353" spans="1:10">
      <c r="A353" s="35"/>
      <c r="B353" s="36"/>
      <c r="C353" s="1">
        <v>5</v>
      </c>
      <c r="D353" s="1">
        <v>118</v>
      </c>
      <c r="E353" s="1">
        <v>168</v>
      </c>
      <c r="F353" s="1" t="s">
        <v>8</v>
      </c>
      <c r="G353" s="1" t="s">
        <v>8</v>
      </c>
      <c r="H353" s="1" t="s">
        <v>8</v>
      </c>
      <c r="I353" s="1" t="s">
        <v>8</v>
      </c>
      <c r="J353" s="1"/>
    </row>
    <row r="354" spans="1:10">
      <c r="A354" s="35"/>
      <c r="B354" s="36"/>
      <c r="C354" s="7" t="s">
        <v>6</v>
      </c>
      <c r="D354" s="8">
        <f t="shared" ref="D354:I354" si="125">IF(SUM(D349:D353)=0,"-",SUM(D349:D353))</f>
        <v>557</v>
      </c>
      <c r="E354" s="8">
        <f t="shared" si="125"/>
        <v>775</v>
      </c>
      <c r="F354" s="8" t="str">
        <f t="shared" si="125"/>
        <v>-</v>
      </c>
      <c r="G354" s="8" t="str">
        <f t="shared" si="125"/>
        <v>-</v>
      </c>
      <c r="H354" s="8" t="str">
        <f t="shared" si="125"/>
        <v>-</v>
      </c>
      <c r="I354" s="8" t="str">
        <f t="shared" si="125"/>
        <v>-</v>
      </c>
      <c r="J354" s="8"/>
    </row>
    <row r="355" spans="1:10">
      <c r="A355" s="35"/>
      <c r="B355" s="36"/>
      <c r="C355" s="9" t="s">
        <v>7</v>
      </c>
      <c r="D355" s="10">
        <f>IF(D354="-","-",D354/MAX($C349:$C353))</f>
        <v>111.4</v>
      </c>
      <c r="E355" s="10">
        <f>IF(E354="-","-",E354/MAX($C349:$C353))</f>
        <v>155</v>
      </c>
      <c r="F355" s="10" t="str">
        <f>IF(F354="-","-",F354/ (MAX($C349:$C353)-2))</f>
        <v>-</v>
      </c>
      <c r="G355" s="10" t="str">
        <f>IF(G354="-","-",G354/MAX($C349:$C353))</f>
        <v>-</v>
      </c>
      <c r="H355" s="10" t="str">
        <f>IF(H354="-","-",H354/MAX($C349:$C353))</f>
        <v>-</v>
      </c>
      <c r="I355" s="10" t="str">
        <f>IF(I354="-","-",I354/MAX($C349:$C353))</f>
        <v>-</v>
      </c>
      <c r="J355" s="10"/>
    </row>
    <row r="356" spans="1:10">
      <c r="A356" s="34" t="s">
        <v>41</v>
      </c>
      <c r="B356" s="36">
        <v>44554</v>
      </c>
      <c r="C356" s="1">
        <v>1</v>
      </c>
      <c r="D356" s="1">
        <v>100</v>
      </c>
      <c r="E356" s="1" t="s">
        <v>8</v>
      </c>
      <c r="F356" s="1" t="s">
        <v>8</v>
      </c>
      <c r="G356" s="1" t="s">
        <v>8</v>
      </c>
      <c r="H356" s="1" t="s">
        <v>8</v>
      </c>
      <c r="I356" s="1" t="s">
        <v>8</v>
      </c>
      <c r="J356" s="1"/>
    </row>
    <row r="357" spans="1:10">
      <c r="A357" s="35"/>
      <c r="B357" s="36"/>
      <c r="C357" s="1">
        <v>2</v>
      </c>
      <c r="D357" s="1">
        <v>96</v>
      </c>
      <c r="E357" s="1" t="s">
        <v>8</v>
      </c>
      <c r="F357" s="1" t="s">
        <v>8</v>
      </c>
      <c r="G357" s="1" t="s">
        <v>8</v>
      </c>
      <c r="H357" s="1" t="s">
        <v>8</v>
      </c>
      <c r="I357" s="1" t="s">
        <v>8</v>
      </c>
      <c r="J357" s="1"/>
    </row>
    <row r="358" spans="1:10">
      <c r="A358" s="35"/>
      <c r="B358" s="36"/>
      <c r="C358" s="1">
        <v>3</v>
      </c>
      <c r="D358" s="1">
        <v>106</v>
      </c>
      <c r="E358" s="1" t="s">
        <v>8</v>
      </c>
      <c r="F358" s="1" t="s">
        <v>8</v>
      </c>
      <c r="G358" s="1" t="s">
        <v>8</v>
      </c>
      <c r="H358" s="1" t="s">
        <v>8</v>
      </c>
      <c r="I358" s="1" t="s">
        <v>8</v>
      </c>
      <c r="J358" s="1"/>
    </row>
    <row r="359" spans="1:10">
      <c r="A359" s="35"/>
      <c r="B359" s="36"/>
      <c r="C359" s="1">
        <v>4</v>
      </c>
      <c r="D359" s="1">
        <v>93</v>
      </c>
      <c r="E359" s="1" t="s">
        <v>8</v>
      </c>
      <c r="F359" s="1" t="s">
        <v>8</v>
      </c>
      <c r="G359" s="1" t="s">
        <v>8</v>
      </c>
      <c r="H359" s="1" t="s">
        <v>8</v>
      </c>
      <c r="I359" s="1" t="s">
        <v>8</v>
      </c>
      <c r="J359" s="1"/>
    </row>
    <row r="360" spans="1:10">
      <c r="A360" s="35"/>
      <c r="B360" s="36"/>
      <c r="C360" s="1">
        <v>5</v>
      </c>
      <c r="D360" s="1">
        <v>139</v>
      </c>
      <c r="E360" s="1" t="s">
        <v>8</v>
      </c>
      <c r="F360" s="1" t="s">
        <v>8</v>
      </c>
      <c r="G360" s="1" t="s">
        <v>8</v>
      </c>
      <c r="H360" s="1" t="s">
        <v>8</v>
      </c>
      <c r="I360" s="1" t="s">
        <v>8</v>
      </c>
      <c r="J360" s="1"/>
    </row>
    <row r="361" spans="1:10">
      <c r="A361" s="35"/>
      <c r="B361" s="36"/>
      <c r="C361" s="1">
        <v>6</v>
      </c>
      <c r="D361" s="1">
        <v>126</v>
      </c>
      <c r="E361" s="1" t="s">
        <v>8</v>
      </c>
      <c r="F361" s="1" t="s">
        <v>8</v>
      </c>
      <c r="G361" s="1" t="s">
        <v>8</v>
      </c>
      <c r="H361" s="1" t="s">
        <v>8</v>
      </c>
      <c r="I361" s="1" t="s">
        <v>8</v>
      </c>
      <c r="J361" s="1"/>
    </row>
    <row r="362" spans="1:10">
      <c r="A362" s="35"/>
      <c r="B362" s="36"/>
      <c r="C362" s="7" t="s">
        <v>6</v>
      </c>
      <c r="D362" s="8">
        <f>IF(SUM(D356:D361)=0,"-",SUM(D356:D361))</f>
        <v>660</v>
      </c>
      <c r="E362" s="8" t="str">
        <f>IF(SUM(E356:E361)=0,"-",SUM(E356:E361))</f>
        <v>-</v>
      </c>
      <c r="F362" s="8" t="str">
        <f>IF(SUM(F356:F361)=0,"-",SUM(F356:F361))</f>
        <v>-</v>
      </c>
      <c r="G362" s="8" t="str">
        <f>IF(SUM(G356:G360)=0,"-",SUM(G356:G360))</f>
        <v>-</v>
      </c>
      <c r="H362" s="8" t="str">
        <f>IF(SUM(H356:H360)=0,"-",SUM(H356:H360))</f>
        <v>-</v>
      </c>
      <c r="I362" s="8" t="str">
        <f>IF(SUM(I356:I360)=0,"-",SUM(I356:I360))</f>
        <v>-</v>
      </c>
      <c r="J362" s="8"/>
    </row>
    <row r="363" spans="1:10">
      <c r="A363" s="35"/>
      <c r="B363" s="36"/>
      <c r="C363" s="9" t="s">
        <v>7</v>
      </c>
      <c r="D363" s="10">
        <f>IF(D362="-","-",D362/MAX($C356:$C361))</f>
        <v>110</v>
      </c>
      <c r="E363" s="10" t="str">
        <f>IF(E362="-","-",E362/MAX($C356:$C361))</f>
        <v>-</v>
      </c>
      <c r="F363" s="10" t="str">
        <f>IF(F362="-","-",F362/ (MAX($C356:$C361)-2))</f>
        <v>-</v>
      </c>
      <c r="G363" s="10" t="str">
        <f>IF(G362="-","-",G362/MAX($C356:$C360))</f>
        <v>-</v>
      </c>
      <c r="H363" s="10" t="str">
        <f>IF(H362="-","-",H362/MAX($C356:$C360))</f>
        <v>-</v>
      </c>
      <c r="I363" s="10" t="str">
        <f>IF(I362="-","-",I362/MAX($C356:$C360))</f>
        <v>-</v>
      </c>
      <c r="J363" s="10"/>
    </row>
    <row r="364" spans="1:10">
      <c r="A364" s="34" t="s">
        <v>42</v>
      </c>
      <c r="B364" s="36">
        <v>44568</v>
      </c>
      <c r="C364" s="1">
        <v>1</v>
      </c>
      <c r="D364" s="1">
        <v>106</v>
      </c>
      <c r="E364" s="1">
        <v>87</v>
      </c>
      <c r="F364" s="1" t="s">
        <v>8</v>
      </c>
      <c r="G364" s="1" t="s">
        <v>8</v>
      </c>
      <c r="H364" s="1" t="s">
        <v>8</v>
      </c>
      <c r="I364" s="1" t="s">
        <v>8</v>
      </c>
      <c r="J364" s="1"/>
    </row>
    <row r="365" spans="1:10">
      <c r="A365" s="35"/>
      <c r="B365" s="36"/>
      <c r="C365" s="1">
        <v>2</v>
      </c>
      <c r="D365" s="1">
        <v>112</v>
      </c>
      <c r="E365" s="1">
        <v>173</v>
      </c>
      <c r="F365" s="1" t="s">
        <v>8</v>
      </c>
      <c r="G365" s="1" t="s">
        <v>8</v>
      </c>
      <c r="H365" s="1" t="s">
        <v>8</v>
      </c>
      <c r="I365" s="1" t="s">
        <v>8</v>
      </c>
      <c r="J365" s="1"/>
    </row>
    <row r="366" spans="1:10">
      <c r="A366" s="35"/>
      <c r="B366" s="36"/>
      <c r="C366" s="1">
        <v>3</v>
      </c>
      <c r="D366" s="1">
        <v>107</v>
      </c>
      <c r="E366" s="1">
        <v>146</v>
      </c>
      <c r="F366" s="1" t="s">
        <v>8</v>
      </c>
      <c r="G366" s="1" t="s">
        <v>8</v>
      </c>
      <c r="H366" s="1" t="s">
        <v>8</v>
      </c>
      <c r="I366" s="1" t="s">
        <v>8</v>
      </c>
      <c r="J366" s="1"/>
    </row>
    <row r="367" spans="1:10">
      <c r="A367" s="35"/>
      <c r="B367" s="36"/>
      <c r="C367" s="1">
        <v>4</v>
      </c>
      <c r="D367" s="1">
        <v>142</v>
      </c>
      <c r="E367" s="1">
        <v>136</v>
      </c>
      <c r="F367" s="1" t="s">
        <v>8</v>
      </c>
      <c r="G367" s="1" t="s">
        <v>8</v>
      </c>
      <c r="H367" s="1" t="s">
        <v>8</v>
      </c>
      <c r="I367" s="1" t="s">
        <v>8</v>
      </c>
      <c r="J367" s="1"/>
    </row>
    <row r="368" spans="1:10">
      <c r="A368" s="35"/>
      <c r="B368" s="36"/>
      <c r="C368" s="1">
        <v>5</v>
      </c>
      <c r="D368" s="1">
        <v>126</v>
      </c>
      <c r="E368" s="1">
        <v>116</v>
      </c>
      <c r="F368" s="1" t="s">
        <v>8</v>
      </c>
      <c r="G368" s="1" t="s">
        <v>8</v>
      </c>
      <c r="H368" s="1" t="s">
        <v>8</v>
      </c>
      <c r="I368" s="1" t="s">
        <v>8</v>
      </c>
      <c r="J368" s="1"/>
    </row>
    <row r="369" spans="1:10">
      <c r="A369" s="35"/>
      <c r="B369" s="36"/>
      <c r="C369" s="7" t="s">
        <v>6</v>
      </c>
      <c r="D369" s="8">
        <f t="shared" ref="D369:I369" si="126">IF(SUM(D364:D368)=0,"-",SUM(D364:D368))</f>
        <v>593</v>
      </c>
      <c r="E369" s="8">
        <f t="shared" si="126"/>
        <v>658</v>
      </c>
      <c r="F369" s="8" t="str">
        <f t="shared" si="126"/>
        <v>-</v>
      </c>
      <c r="G369" s="8" t="str">
        <f t="shared" si="126"/>
        <v>-</v>
      </c>
      <c r="H369" s="8" t="str">
        <f t="shared" si="126"/>
        <v>-</v>
      </c>
      <c r="I369" s="8" t="str">
        <f t="shared" si="126"/>
        <v>-</v>
      </c>
      <c r="J369" s="8"/>
    </row>
    <row r="370" spans="1:10">
      <c r="A370" s="35"/>
      <c r="B370" s="36"/>
      <c r="C370" s="9" t="s">
        <v>7</v>
      </c>
      <c r="D370" s="10">
        <f>IF(D369="-","-",D369/MAX($C364:$C368))</f>
        <v>118.6</v>
      </c>
      <c r="E370" s="10">
        <f>IF(E369="-","-",E369/MAX($C364:$C368))</f>
        <v>131.6</v>
      </c>
      <c r="F370" s="10" t="str">
        <f>IF(F369="-","-",F369/ (MAX($C364:$C368)-2))</f>
        <v>-</v>
      </c>
      <c r="G370" s="10" t="str">
        <f>IF(G369="-","-",G369/MAX($C364:$C368))</f>
        <v>-</v>
      </c>
      <c r="H370" s="10" t="str">
        <f>IF(H369="-","-",H369/MAX($C364:$C368))</f>
        <v>-</v>
      </c>
      <c r="I370" s="10" t="str">
        <f>IF(I369="-","-",I369/MAX($C364:$C368))</f>
        <v>-</v>
      </c>
      <c r="J370" s="10"/>
    </row>
    <row r="371" spans="1:10">
      <c r="A371" s="34" t="s">
        <v>43</v>
      </c>
      <c r="B371" s="36">
        <v>44582</v>
      </c>
      <c r="C371" s="1">
        <v>1</v>
      </c>
      <c r="D371" s="1">
        <v>98</v>
      </c>
      <c r="E371" s="1">
        <v>106</v>
      </c>
      <c r="F371" s="1" t="s">
        <v>8</v>
      </c>
      <c r="G371" s="1" t="s">
        <v>8</v>
      </c>
      <c r="H371" s="1" t="s">
        <v>8</v>
      </c>
      <c r="I371" s="1" t="s">
        <v>8</v>
      </c>
      <c r="J371" s="1"/>
    </row>
    <row r="372" spans="1:10">
      <c r="A372" s="35"/>
      <c r="B372" s="36"/>
      <c r="C372" s="1">
        <v>2</v>
      </c>
      <c r="D372" s="1">
        <v>128</v>
      </c>
      <c r="E372" s="1">
        <v>148</v>
      </c>
      <c r="F372" s="1" t="s">
        <v>8</v>
      </c>
      <c r="G372" s="1" t="s">
        <v>8</v>
      </c>
      <c r="H372" s="1" t="s">
        <v>8</v>
      </c>
      <c r="I372" s="1" t="s">
        <v>8</v>
      </c>
      <c r="J372" s="1"/>
    </row>
    <row r="373" spans="1:10">
      <c r="A373" s="35"/>
      <c r="B373" s="36"/>
      <c r="C373" s="1">
        <v>3</v>
      </c>
      <c r="D373" s="1">
        <v>146</v>
      </c>
      <c r="E373" s="1">
        <v>130</v>
      </c>
      <c r="F373" s="1" t="s">
        <v>8</v>
      </c>
      <c r="G373" s="1" t="s">
        <v>8</v>
      </c>
      <c r="H373" s="1" t="s">
        <v>8</v>
      </c>
      <c r="I373" s="1" t="s">
        <v>8</v>
      </c>
      <c r="J373" s="1"/>
    </row>
    <row r="374" spans="1:10">
      <c r="A374" s="35"/>
      <c r="B374" s="36"/>
      <c r="C374" s="1">
        <v>4</v>
      </c>
      <c r="D374" s="1">
        <v>131</v>
      </c>
      <c r="E374" s="1">
        <v>136</v>
      </c>
      <c r="F374" s="1" t="s">
        <v>8</v>
      </c>
      <c r="G374" s="1" t="s">
        <v>8</v>
      </c>
      <c r="H374" s="1" t="s">
        <v>8</v>
      </c>
      <c r="I374" s="1" t="s">
        <v>8</v>
      </c>
      <c r="J374" s="1"/>
    </row>
    <row r="375" spans="1:10">
      <c r="A375" s="35"/>
      <c r="B375" s="36"/>
      <c r="C375" s="1">
        <v>5</v>
      </c>
      <c r="D375" s="1">
        <v>132</v>
      </c>
      <c r="E375" s="1">
        <v>158</v>
      </c>
      <c r="F375" s="1" t="s">
        <v>8</v>
      </c>
      <c r="G375" s="1" t="s">
        <v>8</v>
      </c>
      <c r="H375" s="1" t="s">
        <v>8</v>
      </c>
      <c r="I375" s="1" t="s">
        <v>8</v>
      </c>
      <c r="J375" s="1"/>
    </row>
    <row r="376" spans="1:10">
      <c r="A376" s="35"/>
      <c r="B376" s="36"/>
      <c r="C376" s="7" t="s">
        <v>6</v>
      </c>
      <c r="D376" s="8">
        <f t="shared" ref="D376:I376" si="127">IF(SUM(D371:D375)=0,"-",SUM(D371:D375))</f>
        <v>635</v>
      </c>
      <c r="E376" s="8">
        <f t="shared" si="127"/>
        <v>678</v>
      </c>
      <c r="F376" s="8" t="str">
        <f t="shared" si="127"/>
        <v>-</v>
      </c>
      <c r="G376" s="8" t="str">
        <f t="shared" si="127"/>
        <v>-</v>
      </c>
      <c r="H376" s="8" t="str">
        <f t="shared" si="127"/>
        <v>-</v>
      </c>
      <c r="I376" s="8" t="str">
        <f t="shared" si="127"/>
        <v>-</v>
      </c>
      <c r="J376" s="8"/>
    </row>
    <row r="377" spans="1:10">
      <c r="A377" s="35"/>
      <c r="B377" s="36"/>
      <c r="C377" s="9" t="s">
        <v>7</v>
      </c>
      <c r="D377" s="10">
        <f>IF(D376="-","-",D376/MAX($C371:$C375))</f>
        <v>127</v>
      </c>
      <c r="E377" s="10">
        <f>IF(E376="-","-",E376/MAX($C371:$C375))</f>
        <v>135.6</v>
      </c>
      <c r="F377" s="10" t="str">
        <f>IF(F376="-","-",F376/ (MAX($C371:$C375)-2))</f>
        <v>-</v>
      </c>
      <c r="G377" s="10" t="str">
        <f>IF(G376="-","-",G376/MAX($C371:$C375))</f>
        <v>-</v>
      </c>
      <c r="H377" s="10" t="str">
        <f>IF(H376="-","-",H376/MAX($C371:$C375))</f>
        <v>-</v>
      </c>
      <c r="I377" s="10" t="str">
        <f>IF(I376="-","-",I376/MAX($C371:$C375))</f>
        <v>-</v>
      </c>
      <c r="J377" s="10"/>
    </row>
    <row r="378" spans="1:10">
      <c r="A378" s="34" t="s">
        <v>44</v>
      </c>
      <c r="B378" s="36">
        <v>44589</v>
      </c>
      <c r="C378" s="1">
        <v>1</v>
      </c>
      <c r="D378" s="1">
        <v>104</v>
      </c>
      <c r="E378" s="1">
        <v>140</v>
      </c>
      <c r="F378" s="1" t="s">
        <v>8</v>
      </c>
      <c r="G378" s="1" t="s">
        <v>8</v>
      </c>
      <c r="H378" s="1" t="s">
        <v>8</v>
      </c>
      <c r="I378" s="1" t="s">
        <v>8</v>
      </c>
      <c r="J378" s="1"/>
    </row>
    <row r="379" spans="1:10">
      <c r="A379" s="35"/>
      <c r="B379" s="36"/>
      <c r="C379" s="1">
        <v>2</v>
      </c>
      <c r="D379" s="1">
        <v>125</v>
      </c>
      <c r="E379" s="1">
        <v>148</v>
      </c>
      <c r="F379" s="1" t="s">
        <v>8</v>
      </c>
      <c r="G379" s="1" t="s">
        <v>8</v>
      </c>
      <c r="H379" s="1" t="s">
        <v>8</v>
      </c>
      <c r="I379" s="1" t="s">
        <v>8</v>
      </c>
      <c r="J379" s="1"/>
    </row>
    <row r="380" spans="1:10">
      <c r="A380" s="35"/>
      <c r="B380" s="36"/>
      <c r="C380" s="1">
        <v>3</v>
      </c>
      <c r="D380" s="1">
        <v>100</v>
      </c>
      <c r="E380" s="1">
        <v>129</v>
      </c>
      <c r="F380" s="1" t="s">
        <v>8</v>
      </c>
      <c r="G380" s="1" t="s">
        <v>8</v>
      </c>
      <c r="H380" s="1" t="s">
        <v>8</v>
      </c>
      <c r="I380" s="1" t="s">
        <v>8</v>
      </c>
      <c r="J380" s="1"/>
    </row>
    <row r="381" spans="1:10">
      <c r="A381" s="35"/>
      <c r="B381" s="36"/>
      <c r="C381" s="1">
        <v>4</v>
      </c>
      <c r="D381" s="1">
        <v>124</v>
      </c>
      <c r="E381" s="1">
        <v>181</v>
      </c>
      <c r="F381" s="1" t="s">
        <v>8</v>
      </c>
      <c r="G381" s="1" t="s">
        <v>8</v>
      </c>
      <c r="H381" s="1" t="s">
        <v>8</v>
      </c>
      <c r="I381" s="1" t="s">
        <v>8</v>
      </c>
      <c r="J381" s="1"/>
    </row>
    <row r="382" spans="1:10">
      <c r="A382" s="35"/>
      <c r="B382" s="36"/>
      <c r="C382" s="1">
        <v>5</v>
      </c>
      <c r="D382" s="1">
        <v>134</v>
      </c>
      <c r="E382" s="1">
        <v>152</v>
      </c>
      <c r="F382" s="1" t="s">
        <v>8</v>
      </c>
      <c r="G382" s="1" t="s">
        <v>8</v>
      </c>
      <c r="H382" s="1" t="s">
        <v>8</v>
      </c>
      <c r="I382" s="1" t="s">
        <v>8</v>
      </c>
      <c r="J382" s="1"/>
    </row>
    <row r="383" spans="1:10">
      <c r="A383" s="35"/>
      <c r="B383" s="36"/>
      <c r="C383" s="7" t="s">
        <v>6</v>
      </c>
      <c r="D383" s="8">
        <f t="shared" ref="D383:I383" si="128">IF(SUM(D378:D382)=0,"-",SUM(D378:D382))</f>
        <v>587</v>
      </c>
      <c r="E383" s="8">
        <f t="shared" si="128"/>
        <v>750</v>
      </c>
      <c r="F383" s="8" t="str">
        <f t="shared" si="128"/>
        <v>-</v>
      </c>
      <c r="G383" s="8" t="str">
        <f t="shared" si="128"/>
        <v>-</v>
      </c>
      <c r="H383" s="8" t="str">
        <f t="shared" si="128"/>
        <v>-</v>
      </c>
      <c r="I383" s="8" t="str">
        <f t="shared" si="128"/>
        <v>-</v>
      </c>
      <c r="J383" s="8"/>
    </row>
    <row r="384" spans="1:10">
      <c r="A384" s="35"/>
      <c r="B384" s="36"/>
      <c r="C384" s="9" t="s">
        <v>7</v>
      </c>
      <c r="D384" s="10">
        <f>IF(D383="-","-",D383/MAX($C378:$C382))</f>
        <v>117.4</v>
      </c>
      <c r="E384" s="10">
        <f>IF(E383="-","-",E383/MAX($C378:$C382))</f>
        <v>150</v>
      </c>
      <c r="F384" s="10" t="str">
        <f>IF(F383="-","-",F383/ (MAX($C378:$C382)-2))</f>
        <v>-</v>
      </c>
      <c r="G384" s="10" t="str">
        <f>IF(G383="-","-",G383/MAX($C378:$C382))</f>
        <v>-</v>
      </c>
      <c r="H384" s="10" t="str">
        <f>IF(H383="-","-",H383/MAX($C378:$C382))</f>
        <v>-</v>
      </c>
      <c r="I384" s="10" t="str">
        <f>IF(I383="-","-",I383/MAX($C378:$C382))</f>
        <v>-</v>
      </c>
      <c r="J384" s="10"/>
    </row>
    <row r="385" spans="1:10">
      <c r="A385" s="34" t="s">
        <v>45</v>
      </c>
      <c r="B385" s="36">
        <v>44596</v>
      </c>
      <c r="C385" s="1">
        <v>1</v>
      </c>
      <c r="D385" s="1">
        <v>130</v>
      </c>
      <c r="E385" s="1" t="s">
        <v>8</v>
      </c>
      <c r="F385" s="1" t="s">
        <v>8</v>
      </c>
      <c r="G385" s="1" t="s">
        <v>8</v>
      </c>
      <c r="H385" s="1" t="s">
        <v>8</v>
      </c>
      <c r="I385" s="1" t="s">
        <v>8</v>
      </c>
      <c r="J385" s="1"/>
    </row>
    <row r="386" spans="1:10">
      <c r="A386" s="35"/>
      <c r="B386" s="36"/>
      <c r="C386" s="1">
        <v>2</v>
      </c>
      <c r="D386" s="1">
        <v>100</v>
      </c>
      <c r="E386" s="1" t="s">
        <v>8</v>
      </c>
      <c r="F386" s="1" t="s">
        <v>8</v>
      </c>
      <c r="G386" s="1" t="s">
        <v>8</v>
      </c>
      <c r="H386" s="1" t="s">
        <v>8</v>
      </c>
      <c r="I386" s="1" t="s">
        <v>8</v>
      </c>
      <c r="J386" s="1"/>
    </row>
    <row r="387" spans="1:10">
      <c r="A387" s="35"/>
      <c r="B387" s="36"/>
      <c r="C387" s="1">
        <v>3</v>
      </c>
      <c r="D387" s="1">
        <v>116</v>
      </c>
      <c r="E387" s="1" t="s">
        <v>8</v>
      </c>
      <c r="F387" s="1" t="s">
        <v>8</v>
      </c>
      <c r="G387" s="1" t="s">
        <v>8</v>
      </c>
      <c r="H387" s="1" t="s">
        <v>8</v>
      </c>
      <c r="I387" s="1" t="s">
        <v>8</v>
      </c>
      <c r="J387" s="1"/>
    </row>
    <row r="388" spans="1:10">
      <c r="A388" s="35"/>
      <c r="B388" s="36"/>
      <c r="C388" s="1">
        <v>4</v>
      </c>
      <c r="D388" s="1">
        <v>128</v>
      </c>
      <c r="E388" s="1" t="s">
        <v>8</v>
      </c>
      <c r="F388" s="1" t="s">
        <v>8</v>
      </c>
      <c r="G388" s="1" t="s">
        <v>8</v>
      </c>
      <c r="H388" s="1" t="s">
        <v>8</v>
      </c>
      <c r="I388" s="1" t="s">
        <v>8</v>
      </c>
      <c r="J388" s="1"/>
    </row>
    <row r="389" spans="1:10">
      <c r="A389" s="35"/>
      <c r="B389" s="36"/>
      <c r="C389" s="7" t="s">
        <v>6</v>
      </c>
      <c r="D389" s="8">
        <f t="shared" ref="D389:I389" si="129">IF(SUM(D385:D388)=0,"-",SUM(D385:D388))</f>
        <v>474</v>
      </c>
      <c r="E389" s="8" t="str">
        <f t="shared" si="129"/>
        <v>-</v>
      </c>
      <c r="F389" s="8" t="str">
        <f t="shared" si="129"/>
        <v>-</v>
      </c>
      <c r="G389" s="8" t="str">
        <f t="shared" si="129"/>
        <v>-</v>
      </c>
      <c r="H389" s="8" t="str">
        <f t="shared" si="129"/>
        <v>-</v>
      </c>
      <c r="I389" s="8" t="str">
        <f t="shared" si="129"/>
        <v>-</v>
      </c>
      <c r="J389" s="8"/>
    </row>
    <row r="390" spans="1:10">
      <c r="A390" s="35"/>
      <c r="B390" s="36"/>
      <c r="C390" s="9" t="s">
        <v>7</v>
      </c>
      <c r="D390" s="10">
        <f>IF(D389="-","-",D389/MAX($C385:$C388))</f>
        <v>118.5</v>
      </c>
      <c r="E390" s="10" t="str">
        <f>IF(E389="-","-",E389/MAX($C385:$C388))</f>
        <v>-</v>
      </c>
      <c r="F390" s="10" t="str">
        <f>IF(F389="-","-",F389/ (MAX($C385:$C388)-2))</f>
        <v>-</v>
      </c>
      <c r="G390" s="10" t="str">
        <f>IF(G389="-","-",G389/MAX($C385:$C388))</f>
        <v>-</v>
      </c>
      <c r="H390" s="10" t="str">
        <f>IF(H389="-","-",H389/MAX($C385:$C388))</f>
        <v>-</v>
      </c>
      <c r="I390" s="10" t="str">
        <f>IF(I389="-","-",I389/MAX($C385:$C388))</f>
        <v>-</v>
      </c>
      <c r="J390" s="10"/>
    </row>
    <row r="391" spans="1:10">
      <c r="A391" s="34" t="s">
        <v>46</v>
      </c>
      <c r="B391" s="36">
        <v>44624</v>
      </c>
      <c r="C391" s="1">
        <v>1</v>
      </c>
      <c r="D391" s="1">
        <v>101</v>
      </c>
      <c r="E391" s="1" t="s">
        <v>8</v>
      </c>
      <c r="F391" s="1" t="s">
        <v>8</v>
      </c>
      <c r="G391" s="1" t="s">
        <v>8</v>
      </c>
      <c r="H391" s="1" t="s">
        <v>8</v>
      </c>
      <c r="I391" s="1" t="s">
        <v>8</v>
      </c>
      <c r="J391" s="1"/>
    </row>
    <row r="392" spans="1:10">
      <c r="A392" s="35"/>
      <c r="B392" s="36"/>
      <c r="C392" s="1">
        <v>2</v>
      </c>
      <c r="D392" s="1">
        <v>106</v>
      </c>
      <c r="E392" s="1" t="s">
        <v>8</v>
      </c>
      <c r="F392" s="1" t="s">
        <v>8</v>
      </c>
      <c r="G392" s="1" t="s">
        <v>8</v>
      </c>
      <c r="H392" s="1" t="s">
        <v>8</v>
      </c>
      <c r="I392" s="1" t="s">
        <v>8</v>
      </c>
      <c r="J392" s="1"/>
    </row>
    <row r="393" spans="1:10">
      <c r="A393" s="35"/>
      <c r="B393" s="36"/>
      <c r="C393" s="1">
        <v>3</v>
      </c>
      <c r="D393" s="1">
        <v>123</v>
      </c>
      <c r="E393" s="1" t="s">
        <v>8</v>
      </c>
      <c r="F393" s="1" t="s">
        <v>8</v>
      </c>
      <c r="G393" s="1" t="s">
        <v>8</v>
      </c>
      <c r="H393" s="1" t="s">
        <v>8</v>
      </c>
      <c r="I393" s="1" t="s">
        <v>8</v>
      </c>
      <c r="J393" s="1"/>
    </row>
    <row r="394" spans="1:10">
      <c r="A394" s="35"/>
      <c r="B394" s="36"/>
      <c r="C394" s="1">
        <v>4</v>
      </c>
      <c r="D394" s="1">
        <v>130</v>
      </c>
      <c r="E394" s="1" t="s">
        <v>8</v>
      </c>
      <c r="F394" s="1" t="s">
        <v>8</v>
      </c>
      <c r="G394" s="1" t="s">
        <v>8</v>
      </c>
      <c r="H394" s="1" t="s">
        <v>8</v>
      </c>
      <c r="I394" s="1" t="s">
        <v>8</v>
      </c>
      <c r="J394" s="1"/>
    </row>
    <row r="395" spans="1:10">
      <c r="A395" s="35"/>
      <c r="B395" s="36"/>
      <c r="C395" s="7" t="s">
        <v>6</v>
      </c>
      <c r="D395" s="8">
        <f t="shared" ref="D395:I395" si="130">IF(SUM(D391:D394)=0,"-",SUM(D391:D394))</f>
        <v>460</v>
      </c>
      <c r="E395" s="8" t="str">
        <f t="shared" si="130"/>
        <v>-</v>
      </c>
      <c r="F395" s="8" t="str">
        <f t="shared" si="130"/>
        <v>-</v>
      </c>
      <c r="G395" s="8" t="str">
        <f t="shared" si="130"/>
        <v>-</v>
      </c>
      <c r="H395" s="8" t="str">
        <f t="shared" si="130"/>
        <v>-</v>
      </c>
      <c r="I395" s="8" t="str">
        <f t="shared" si="130"/>
        <v>-</v>
      </c>
      <c r="J395" s="8"/>
    </row>
    <row r="396" spans="1:10">
      <c r="A396" s="35"/>
      <c r="B396" s="36"/>
      <c r="C396" s="9" t="s">
        <v>7</v>
      </c>
      <c r="D396" s="10">
        <f>IF(D395="-","-",D395/MAX($C391:$C394))</f>
        <v>115</v>
      </c>
      <c r="E396" s="10" t="str">
        <f>IF(E395="-","-",E395/MAX($C391:$C394))</f>
        <v>-</v>
      </c>
      <c r="F396" s="10" t="str">
        <f>IF(F395="-","-",F395/ (MAX($C391:$C394)-2))</f>
        <v>-</v>
      </c>
      <c r="G396" s="10" t="str">
        <f>IF(G395="-","-",G395/MAX($C391:$C394))</f>
        <v>-</v>
      </c>
      <c r="H396" s="10" t="str">
        <f>IF(H395="-","-",H395/MAX($C391:$C394))</f>
        <v>-</v>
      </c>
      <c r="I396" s="10" t="str">
        <f>IF(I395="-","-",I395/MAX($C391:$C394))</f>
        <v>-</v>
      </c>
      <c r="J396" s="10"/>
    </row>
    <row r="397" spans="1:10">
      <c r="A397" s="50" t="s">
        <v>47</v>
      </c>
      <c r="B397" s="36">
        <v>44633</v>
      </c>
      <c r="C397" s="1">
        <v>1</v>
      </c>
      <c r="D397" s="1">
        <v>90</v>
      </c>
      <c r="E397" s="1">
        <v>129</v>
      </c>
      <c r="F397" s="1" t="s">
        <v>8</v>
      </c>
      <c r="G397" s="1" t="s">
        <v>8</v>
      </c>
      <c r="H397" s="1" t="s">
        <v>8</v>
      </c>
      <c r="I397" s="1" t="s">
        <v>8</v>
      </c>
      <c r="J397" s="1"/>
    </row>
    <row r="398" spans="1:10">
      <c r="A398" s="40"/>
      <c r="B398" s="36"/>
      <c r="C398" s="1">
        <v>2</v>
      </c>
      <c r="D398" s="1">
        <v>110</v>
      </c>
      <c r="E398" s="1">
        <v>122</v>
      </c>
      <c r="F398" s="1" t="s">
        <v>8</v>
      </c>
      <c r="G398" s="1" t="s">
        <v>8</v>
      </c>
      <c r="H398" s="1" t="s">
        <v>8</v>
      </c>
      <c r="I398" s="1" t="s">
        <v>8</v>
      </c>
      <c r="J398" s="1"/>
    </row>
    <row r="399" spans="1:10">
      <c r="A399" s="40"/>
      <c r="B399" s="36"/>
      <c r="C399" s="1">
        <v>3</v>
      </c>
      <c r="D399" s="1">
        <v>125</v>
      </c>
      <c r="E399" s="1">
        <v>143</v>
      </c>
      <c r="F399" s="1" t="s">
        <v>8</v>
      </c>
      <c r="G399" s="1" t="s">
        <v>8</v>
      </c>
      <c r="H399" s="1" t="s">
        <v>8</v>
      </c>
      <c r="I399" s="1" t="s">
        <v>8</v>
      </c>
      <c r="J399" s="1"/>
    </row>
    <row r="400" spans="1:10">
      <c r="A400" s="40"/>
      <c r="B400" s="36"/>
      <c r="C400" s="1">
        <v>4</v>
      </c>
      <c r="D400" s="1">
        <v>139</v>
      </c>
      <c r="E400" s="1">
        <v>167</v>
      </c>
      <c r="F400" s="1" t="s">
        <v>8</v>
      </c>
      <c r="G400" s="1" t="s">
        <v>8</v>
      </c>
      <c r="H400" s="1" t="s">
        <v>8</v>
      </c>
      <c r="I400" s="1" t="s">
        <v>8</v>
      </c>
      <c r="J400" s="1"/>
    </row>
    <row r="401" spans="1:10">
      <c r="A401" s="40"/>
      <c r="B401" s="36"/>
      <c r="C401" s="1">
        <v>5</v>
      </c>
      <c r="D401" s="1">
        <v>130</v>
      </c>
      <c r="E401" s="1">
        <v>143</v>
      </c>
      <c r="F401" s="1">
        <v>85</v>
      </c>
      <c r="G401" s="1" t="s">
        <v>8</v>
      </c>
      <c r="H401" s="1" t="s">
        <v>8</v>
      </c>
      <c r="I401" s="1" t="s">
        <v>8</v>
      </c>
      <c r="J401" s="1"/>
    </row>
    <row r="402" spans="1:10">
      <c r="A402" s="40"/>
      <c r="B402" s="36"/>
      <c r="C402" s="1">
        <v>6</v>
      </c>
      <c r="D402" s="1">
        <v>103</v>
      </c>
      <c r="E402" s="1">
        <v>148</v>
      </c>
      <c r="F402" s="1">
        <v>142</v>
      </c>
      <c r="G402" s="1" t="s">
        <v>8</v>
      </c>
      <c r="H402" s="1" t="s">
        <v>8</v>
      </c>
      <c r="I402" s="1" t="s">
        <v>8</v>
      </c>
      <c r="J402" s="1"/>
    </row>
    <row r="403" spans="1:10">
      <c r="A403" s="40"/>
      <c r="B403" s="36"/>
      <c r="C403" s="1">
        <v>7</v>
      </c>
      <c r="D403" s="1">
        <v>115</v>
      </c>
      <c r="E403" s="1">
        <v>152</v>
      </c>
      <c r="F403" s="1">
        <v>105</v>
      </c>
      <c r="G403" s="1" t="s">
        <v>8</v>
      </c>
      <c r="H403" s="1" t="s">
        <v>8</v>
      </c>
      <c r="I403" s="1" t="s">
        <v>8</v>
      </c>
      <c r="J403" s="1"/>
    </row>
    <row r="404" spans="1:10">
      <c r="A404" s="40"/>
      <c r="B404" s="36"/>
      <c r="C404" s="7" t="s">
        <v>6</v>
      </c>
      <c r="D404" s="8">
        <f>IF(SUM(D397:D403)=0,"-",SUM(D397:D403))</f>
        <v>812</v>
      </c>
      <c r="E404" s="8">
        <f t="shared" ref="E404:G404" si="131">IF(SUM(E397:E403)=0,"-",SUM(E397:E403))</f>
        <v>1004</v>
      </c>
      <c r="F404" s="8">
        <f t="shared" si="131"/>
        <v>332</v>
      </c>
      <c r="G404" s="8" t="str">
        <f t="shared" si="131"/>
        <v>-</v>
      </c>
      <c r="H404" s="8" t="str">
        <f t="shared" ref="H404:I404" si="132">IF(SUM(H397:H403)=0,"-",SUM(H397:H403))</f>
        <v>-</v>
      </c>
      <c r="I404" s="8" t="str">
        <f t="shared" si="132"/>
        <v>-</v>
      </c>
      <c r="J404" s="8"/>
    </row>
    <row r="405" spans="1:10">
      <c r="A405" s="40"/>
      <c r="B405" s="36"/>
      <c r="C405" s="9" t="s">
        <v>7</v>
      </c>
      <c r="D405" s="10">
        <f>IF(D404="-","-",D404/MAX($C397:$C403))</f>
        <v>116</v>
      </c>
      <c r="E405" s="10">
        <f t="shared" ref="E405:G405" si="133">IF(E404="-","-",E404/MAX($C397:$C403))</f>
        <v>143.42857142857142</v>
      </c>
      <c r="F405" s="10">
        <f>IF(F404="-","-",F404/MAX($C397:$C399))</f>
        <v>110.66666666666667</v>
      </c>
      <c r="G405" s="10" t="str">
        <f t="shared" si="133"/>
        <v>-</v>
      </c>
      <c r="H405" s="10" t="str">
        <f t="shared" ref="H405:I405" si="134">IF(H404="-","-",H404/MAX($C397:$C403))</f>
        <v>-</v>
      </c>
      <c r="I405" s="10" t="str">
        <f t="shared" si="134"/>
        <v>-</v>
      </c>
      <c r="J405" s="10"/>
    </row>
    <row r="406" spans="1:10">
      <c r="A406" s="34" t="s">
        <v>48</v>
      </c>
      <c r="B406" s="36">
        <v>44652</v>
      </c>
      <c r="C406" s="1">
        <v>1</v>
      </c>
      <c r="D406" s="1">
        <v>90</v>
      </c>
      <c r="E406" s="1" t="s">
        <v>8</v>
      </c>
      <c r="F406" s="1" t="s">
        <v>8</v>
      </c>
      <c r="G406" s="1" t="s">
        <v>8</v>
      </c>
      <c r="H406" s="1" t="s">
        <v>8</v>
      </c>
      <c r="I406" s="1" t="s">
        <v>8</v>
      </c>
      <c r="J406" s="1"/>
    </row>
    <row r="407" spans="1:10">
      <c r="A407" s="35"/>
      <c r="B407" s="36"/>
      <c r="C407" s="1">
        <v>2</v>
      </c>
      <c r="D407" s="1">
        <v>87</v>
      </c>
      <c r="E407" s="1" t="s">
        <v>8</v>
      </c>
      <c r="F407" s="1" t="s">
        <v>8</v>
      </c>
      <c r="G407" s="1" t="s">
        <v>8</v>
      </c>
      <c r="H407" s="1" t="s">
        <v>8</v>
      </c>
      <c r="I407" s="1" t="s">
        <v>8</v>
      </c>
      <c r="J407" s="1"/>
    </row>
    <row r="408" spans="1:10">
      <c r="A408" s="35"/>
      <c r="B408" s="36"/>
      <c r="C408" s="1">
        <v>3</v>
      </c>
      <c r="D408" s="1">
        <v>90</v>
      </c>
      <c r="E408" s="1" t="s">
        <v>8</v>
      </c>
      <c r="F408" s="1" t="s">
        <v>8</v>
      </c>
      <c r="G408" s="1" t="s">
        <v>8</v>
      </c>
      <c r="H408" s="1" t="s">
        <v>8</v>
      </c>
      <c r="I408" s="1" t="s">
        <v>8</v>
      </c>
      <c r="J408" s="1"/>
    </row>
    <row r="409" spans="1:10">
      <c r="A409" s="35"/>
      <c r="B409" s="36"/>
      <c r="C409" s="1">
        <v>4</v>
      </c>
      <c r="D409" s="1">
        <v>146</v>
      </c>
      <c r="E409" s="1" t="s">
        <v>8</v>
      </c>
      <c r="F409" s="1" t="s">
        <v>8</v>
      </c>
      <c r="G409" s="1" t="s">
        <v>8</v>
      </c>
      <c r="H409" s="1" t="s">
        <v>8</v>
      </c>
      <c r="I409" s="1" t="s">
        <v>8</v>
      </c>
      <c r="J409" s="1"/>
    </row>
    <row r="410" spans="1:10">
      <c r="A410" s="35"/>
      <c r="B410" s="36"/>
      <c r="C410" s="1">
        <v>5</v>
      </c>
      <c r="D410" s="1">
        <v>157</v>
      </c>
      <c r="E410" s="1" t="s">
        <v>8</v>
      </c>
      <c r="F410" s="1" t="s">
        <v>8</v>
      </c>
      <c r="G410" s="1" t="s">
        <v>8</v>
      </c>
      <c r="H410" s="1" t="s">
        <v>8</v>
      </c>
      <c r="I410" s="1" t="s">
        <v>8</v>
      </c>
      <c r="J410" s="1"/>
    </row>
    <row r="411" spans="1:10">
      <c r="A411" s="35"/>
      <c r="B411" s="36"/>
      <c r="C411" s="1">
        <v>6</v>
      </c>
      <c r="D411" s="1">
        <v>120</v>
      </c>
      <c r="E411" s="1" t="s">
        <v>8</v>
      </c>
      <c r="F411" s="1" t="s">
        <v>8</v>
      </c>
      <c r="G411" s="1" t="s">
        <v>8</v>
      </c>
      <c r="H411" s="1" t="s">
        <v>8</v>
      </c>
      <c r="I411" s="1" t="s">
        <v>8</v>
      </c>
      <c r="J411" s="1"/>
    </row>
    <row r="412" spans="1:10">
      <c r="A412" s="35"/>
      <c r="B412" s="36"/>
      <c r="C412" s="1">
        <v>7</v>
      </c>
      <c r="D412" s="1">
        <v>110</v>
      </c>
      <c r="E412" s="1" t="s">
        <v>8</v>
      </c>
      <c r="F412" s="1" t="s">
        <v>8</v>
      </c>
      <c r="G412" s="1" t="s">
        <v>8</v>
      </c>
      <c r="H412" s="1" t="s">
        <v>8</v>
      </c>
      <c r="I412" s="1" t="s">
        <v>8</v>
      </c>
      <c r="J412" s="1"/>
    </row>
    <row r="413" spans="1:10">
      <c r="A413" s="35"/>
      <c r="B413" s="36"/>
      <c r="C413" s="7" t="s">
        <v>6</v>
      </c>
      <c r="D413" s="8">
        <f>IF(SUM(D406:D412)=0,"-",SUM(D406:D412))</f>
        <v>800</v>
      </c>
      <c r="E413" s="8" t="str">
        <f t="shared" ref="E413:G413" si="135">IF(SUM(E406:E412)=0,"-",SUM(E406:E412))</f>
        <v>-</v>
      </c>
      <c r="F413" s="8" t="str">
        <f t="shared" si="135"/>
        <v>-</v>
      </c>
      <c r="G413" s="8" t="str">
        <f t="shared" si="135"/>
        <v>-</v>
      </c>
      <c r="H413" s="8" t="str">
        <f t="shared" ref="H413:I413" si="136">IF(SUM(H406:H412)=0,"-",SUM(H406:H412))</f>
        <v>-</v>
      </c>
      <c r="I413" s="8" t="str">
        <f t="shared" si="136"/>
        <v>-</v>
      </c>
      <c r="J413" s="8"/>
    </row>
    <row r="414" spans="1:10">
      <c r="A414" s="35"/>
      <c r="B414" s="36"/>
      <c r="C414" s="9" t="s">
        <v>7</v>
      </c>
      <c r="D414" s="10">
        <f>IF(D413="-","-",D413/MAX($C406:$C412))</f>
        <v>114.28571428571429</v>
      </c>
      <c r="E414" s="10" t="str">
        <f t="shared" ref="E414:G414" si="137">IF(E413="-","-",E413/MAX($C406:$C412))</f>
        <v>-</v>
      </c>
      <c r="F414" s="10" t="str">
        <f t="shared" si="137"/>
        <v>-</v>
      </c>
      <c r="G414" s="10" t="str">
        <f t="shared" si="137"/>
        <v>-</v>
      </c>
      <c r="H414" s="10" t="str">
        <f t="shared" ref="H414:I414" si="138">IF(H413="-","-",H413/MAX($C406:$C412))</f>
        <v>-</v>
      </c>
      <c r="I414" s="10" t="str">
        <f t="shared" si="138"/>
        <v>-</v>
      </c>
      <c r="J414" s="10"/>
    </row>
    <row r="415" spans="1:10">
      <c r="A415" s="34" t="s">
        <v>49</v>
      </c>
      <c r="B415" s="36">
        <v>44661</v>
      </c>
      <c r="C415" s="1">
        <v>1</v>
      </c>
      <c r="D415" s="1">
        <v>97</v>
      </c>
      <c r="E415" s="1">
        <v>148</v>
      </c>
      <c r="F415" s="1" t="s">
        <v>8</v>
      </c>
      <c r="G415" s="1" t="s">
        <v>8</v>
      </c>
      <c r="H415" s="1" t="s">
        <v>8</v>
      </c>
      <c r="I415" s="1" t="s">
        <v>8</v>
      </c>
      <c r="J415" s="1"/>
    </row>
    <row r="416" spans="1:10">
      <c r="A416" s="35"/>
      <c r="B416" s="36"/>
      <c r="C416" s="1">
        <v>2</v>
      </c>
      <c r="D416" s="1">
        <v>101</v>
      </c>
      <c r="E416" s="1">
        <v>127</v>
      </c>
      <c r="F416" s="1" t="s">
        <v>8</v>
      </c>
      <c r="G416" s="1" t="s">
        <v>8</v>
      </c>
      <c r="H416" s="1" t="s">
        <v>8</v>
      </c>
      <c r="I416" s="1" t="s">
        <v>8</v>
      </c>
      <c r="J416" s="1"/>
    </row>
    <row r="417" spans="1:10">
      <c r="A417" s="35"/>
      <c r="B417" s="36"/>
      <c r="C417" s="1">
        <v>3</v>
      </c>
      <c r="D417" s="1">
        <v>106</v>
      </c>
      <c r="E417" s="1">
        <v>162</v>
      </c>
      <c r="F417" s="1" t="s">
        <v>8</v>
      </c>
      <c r="G417" s="1" t="s">
        <v>8</v>
      </c>
      <c r="H417" s="1" t="s">
        <v>8</v>
      </c>
      <c r="I417" s="1" t="s">
        <v>8</v>
      </c>
      <c r="J417" s="1"/>
    </row>
    <row r="418" spans="1:10">
      <c r="A418" s="35"/>
      <c r="B418" s="36"/>
      <c r="C418" s="1">
        <v>4</v>
      </c>
      <c r="D418" s="1">
        <v>111</v>
      </c>
      <c r="E418" s="1">
        <v>155</v>
      </c>
      <c r="F418" s="1" t="s">
        <v>8</v>
      </c>
      <c r="G418" s="1" t="s">
        <v>8</v>
      </c>
      <c r="H418" s="1" t="s">
        <v>8</v>
      </c>
      <c r="I418" s="1" t="s">
        <v>8</v>
      </c>
      <c r="J418" s="1"/>
    </row>
    <row r="419" spans="1:10">
      <c r="A419" s="35"/>
      <c r="B419" s="36"/>
      <c r="C419" s="1">
        <v>5</v>
      </c>
      <c r="D419" s="1">
        <v>94</v>
      </c>
      <c r="E419" s="1">
        <v>121</v>
      </c>
      <c r="F419" s="1" t="s">
        <v>8</v>
      </c>
      <c r="G419" s="1" t="s">
        <v>8</v>
      </c>
      <c r="H419" s="1" t="s">
        <v>8</v>
      </c>
      <c r="I419" s="1" t="s">
        <v>8</v>
      </c>
      <c r="J419" s="1"/>
    </row>
    <row r="420" spans="1:10">
      <c r="A420" s="35"/>
      <c r="B420" s="36"/>
      <c r="C420" s="7" t="s">
        <v>6</v>
      </c>
      <c r="D420" s="8">
        <f t="shared" ref="D420:I420" si="139">IF(SUM(D415:D419)=0,"-",SUM(D415:D419))</f>
        <v>509</v>
      </c>
      <c r="E420" s="8">
        <f t="shared" si="139"/>
        <v>713</v>
      </c>
      <c r="F420" s="8" t="str">
        <f t="shared" si="139"/>
        <v>-</v>
      </c>
      <c r="G420" s="8" t="str">
        <f t="shared" si="139"/>
        <v>-</v>
      </c>
      <c r="H420" s="8" t="str">
        <f t="shared" si="139"/>
        <v>-</v>
      </c>
      <c r="I420" s="8" t="str">
        <f t="shared" si="139"/>
        <v>-</v>
      </c>
      <c r="J420" s="8"/>
    </row>
    <row r="421" spans="1:10">
      <c r="A421" s="35"/>
      <c r="B421" s="36"/>
      <c r="C421" s="9" t="s">
        <v>7</v>
      </c>
      <c r="D421" s="10">
        <f>IF(D420="-","-",D420/MAX($C415:$C419))</f>
        <v>101.8</v>
      </c>
      <c r="E421" s="10">
        <f>IF(E420="-","-",E420/MAX($C415:$C419))</f>
        <v>142.6</v>
      </c>
      <c r="F421" s="10" t="str">
        <f>IF(F420="-","-",F420/ (MAX($C415:$C419)-2))</f>
        <v>-</v>
      </c>
      <c r="G421" s="10" t="str">
        <f>IF(G420="-","-",G420/MAX($C415:$C419))</f>
        <v>-</v>
      </c>
      <c r="H421" s="10" t="str">
        <f>IF(H420="-","-",H420/MAX($C415:$C419))</f>
        <v>-</v>
      </c>
      <c r="I421" s="10" t="str">
        <f>IF(I420="-","-",I420/MAX($C415:$C419))</f>
        <v>-</v>
      </c>
      <c r="J421" s="10"/>
    </row>
    <row r="422" spans="1:10">
      <c r="A422" s="34" t="s">
        <v>50</v>
      </c>
      <c r="B422" s="36">
        <v>44667</v>
      </c>
      <c r="C422" s="1">
        <v>1</v>
      </c>
      <c r="D422" s="1">
        <v>92</v>
      </c>
      <c r="E422" s="1" t="s">
        <v>8</v>
      </c>
      <c r="F422" s="1" t="s">
        <v>8</v>
      </c>
      <c r="G422" s="1" t="s">
        <v>8</v>
      </c>
      <c r="H422" s="1" t="s">
        <v>8</v>
      </c>
      <c r="I422" s="1" t="s">
        <v>8</v>
      </c>
      <c r="J422" s="1"/>
    </row>
    <row r="423" spans="1:10">
      <c r="A423" s="35"/>
      <c r="B423" s="36"/>
      <c r="C423" s="1">
        <v>2</v>
      </c>
      <c r="D423" s="1">
        <v>115</v>
      </c>
      <c r="E423" s="1" t="s">
        <v>8</v>
      </c>
      <c r="F423" s="1" t="s">
        <v>8</v>
      </c>
      <c r="G423" s="1" t="s">
        <v>8</v>
      </c>
      <c r="H423" s="1" t="s">
        <v>8</v>
      </c>
      <c r="I423" s="1" t="s">
        <v>8</v>
      </c>
      <c r="J423" s="1"/>
    </row>
    <row r="424" spans="1:10">
      <c r="A424" s="35"/>
      <c r="B424" s="36"/>
      <c r="C424" s="1">
        <v>3</v>
      </c>
      <c r="D424" s="1">
        <v>100</v>
      </c>
      <c r="E424" s="1" t="s">
        <v>8</v>
      </c>
      <c r="F424" s="1" t="s">
        <v>8</v>
      </c>
      <c r="G424" s="1" t="s">
        <v>8</v>
      </c>
      <c r="H424" s="1" t="s">
        <v>8</v>
      </c>
      <c r="I424" s="1" t="s">
        <v>8</v>
      </c>
      <c r="J424" s="1"/>
    </row>
    <row r="425" spans="1:10">
      <c r="A425" s="35"/>
      <c r="B425" s="36"/>
      <c r="C425" s="1">
        <v>4</v>
      </c>
      <c r="D425" s="1">
        <v>121</v>
      </c>
      <c r="E425" s="1" t="s">
        <v>8</v>
      </c>
      <c r="F425" s="1" t="s">
        <v>8</v>
      </c>
      <c r="G425" s="1" t="s">
        <v>8</v>
      </c>
      <c r="H425" s="1" t="s">
        <v>8</v>
      </c>
      <c r="I425" s="1" t="s">
        <v>8</v>
      </c>
      <c r="J425" s="1"/>
    </row>
    <row r="426" spans="1:10">
      <c r="A426" s="35"/>
      <c r="B426" s="36"/>
      <c r="C426" s="1">
        <v>5</v>
      </c>
      <c r="D426" s="1">
        <v>83</v>
      </c>
      <c r="E426" s="1" t="s">
        <v>8</v>
      </c>
      <c r="F426" s="1" t="s">
        <v>8</v>
      </c>
      <c r="G426" s="1" t="s">
        <v>8</v>
      </c>
      <c r="H426" s="1" t="s">
        <v>8</v>
      </c>
      <c r="I426" s="1" t="s">
        <v>8</v>
      </c>
      <c r="J426" s="1"/>
    </row>
    <row r="427" spans="1:10">
      <c r="A427" s="35"/>
      <c r="B427" s="36"/>
      <c r="C427" s="1">
        <v>6</v>
      </c>
      <c r="D427" s="1">
        <v>102</v>
      </c>
      <c r="E427" s="1" t="s">
        <v>8</v>
      </c>
      <c r="F427" s="1" t="s">
        <v>8</v>
      </c>
      <c r="G427" s="1" t="s">
        <v>8</v>
      </c>
      <c r="H427" s="1" t="s">
        <v>8</v>
      </c>
      <c r="I427" s="1" t="s">
        <v>8</v>
      </c>
      <c r="J427" s="1"/>
    </row>
    <row r="428" spans="1:10">
      <c r="A428" s="35"/>
      <c r="B428" s="36"/>
      <c r="C428" s="7" t="s">
        <v>6</v>
      </c>
      <c r="D428" s="8">
        <f>IF(SUM(D422:D427)=0,"-",SUM(D422:D427))</f>
        <v>613</v>
      </c>
      <c r="E428" s="8" t="str">
        <f>IF(SUM(E422:E426)=0,"-",SUM(E422:E426))</f>
        <v>-</v>
      </c>
      <c r="F428" s="8" t="str">
        <f>IF(SUM(F422:F426)=0,"-",SUM(F422:F426))</f>
        <v>-</v>
      </c>
      <c r="G428" s="8" t="str">
        <f>IF(SUM(G422:G426)=0,"-",SUM(G422:G426))</f>
        <v>-</v>
      </c>
      <c r="H428" s="8" t="str">
        <f>IF(SUM(H422:H426)=0,"-",SUM(H422:H426))</f>
        <v>-</v>
      </c>
      <c r="I428" s="8" t="str">
        <f>IF(SUM(I422:I426)=0,"-",SUM(I422:I426))</f>
        <v>-</v>
      </c>
      <c r="J428" s="8"/>
    </row>
    <row r="429" spans="1:10">
      <c r="A429" s="35"/>
      <c r="B429" s="36"/>
      <c r="C429" s="9" t="s">
        <v>7</v>
      </c>
      <c r="D429" s="10">
        <f>IF(D428="-","-",D428/MAX($C422:$C427))</f>
        <v>102.16666666666667</v>
      </c>
      <c r="E429" s="10" t="str">
        <f>IF(E428="-","-",E428/MAX($C422:$C426))</f>
        <v>-</v>
      </c>
      <c r="F429" s="10" t="str">
        <f>IF(F428="-","-",F428/ (MAX($C422:$C426)-2))</f>
        <v>-</v>
      </c>
      <c r="G429" s="10" t="str">
        <f>IF(G428="-","-",G428/MAX($C422:$C426))</f>
        <v>-</v>
      </c>
      <c r="H429" s="10" t="str">
        <f>IF(H428="-","-",H428/MAX($C422:$C426))</f>
        <v>-</v>
      </c>
      <c r="I429" s="10" t="str">
        <f>IF(I428="-","-",I428/MAX($C422:$C426))</f>
        <v>-</v>
      </c>
      <c r="J429" s="10"/>
    </row>
    <row r="430" spans="1:10">
      <c r="A430" s="34" t="s">
        <v>51</v>
      </c>
      <c r="B430" s="36">
        <v>44673</v>
      </c>
      <c r="C430" s="1">
        <v>1</v>
      </c>
      <c r="D430" s="1">
        <v>95</v>
      </c>
      <c r="E430" s="1">
        <v>108</v>
      </c>
      <c r="F430" s="1" t="s">
        <v>8</v>
      </c>
      <c r="G430" s="1" t="s">
        <v>8</v>
      </c>
      <c r="H430" s="1" t="s">
        <v>8</v>
      </c>
      <c r="I430" s="1" t="s">
        <v>8</v>
      </c>
      <c r="J430" s="1"/>
    </row>
    <row r="431" spans="1:10">
      <c r="A431" s="35"/>
      <c r="B431" s="36"/>
      <c r="C431" s="1">
        <v>2</v>
      </c>
      <c r="D431" s="1">
        <v>100</v>
      </c>
      <c r="E431" s="1">
        <v>140</v>
      </c>
      <c r="F431" s="1" t="s">
        <v>8</v>
      </c>
      <c r="G431" s="1" t="s">
        <v>8</v>
      </c>
      <c r="H431" s="1" t="s">
        <v>8</v>
      </c>
      <c r="I431" s="1" t="s">
        <v>8</v>
      </c>
      <c r="J431" s="1"/>
    </row>
    <row r="432" spans="1:10">
      <c r="A432" s="35"/>
      <c r="B432" s="36"/>
      <c r="C432" s="1">
        <v>3</v>
      </c>
      <c r="D432" s="1">
        <v>84</v>
      </c>
      <c r="E432" s="1">
        <v>103</v>
      </c>
      <c r="F432" s="1" t="s">
        <v>8</v>
      </c>
      <c r="G432" s="1" t="s">
        <v>8</v>
      </c>
      <c r="H432" s="1" t="s">
        <v>8</v>
      </c>
      <c r="I432" s="1" t="s">
        <v>8</v>
      </c>
      <c r="J432" s="1"/>
    </row>
    <row r="433" spans="1:10">
      <c r="A433" s="35"/>
      <c r="B433" s="36"/>
      <c r="C433" s="1">
        <v>4</v>
      </c>
      <c r="D433" s="1">
        <v>103</v>
      </c>
      <c r="E433" s="1">
        <v>95</v>
      </c>
      <c r="F433" s="1" t="s">
        <v>8</v>
      </c>
      <c r="G433" s="1" t="s">
        <v>8</v>
      </c>
      <c r="H433" s="1" t="s">
        <v>8</v>
      </c>
      <c r="I433" s="1" t="s">
        <v>8</v>
      </c>
      <c r="J433" s="1"/>
    </row>
    <row r="434" spans="1:10">
      <c r="A434" s="35"/>
      <c r="B434" s="36"/>
      <c r="C434" s="1">
        <v>5</v>
      </c>
      <c r="D434" s="1">
        <v>136</v>
      </c>
      <c r="E434" s="1">
        <v>144</v>
      </c>
      <c r="F434" s="1" t="s">
        <v>8</v>
      </c>
      <c r="G434" s="1" t="s">
        <v>8</v>
      </c>
      <c r="H434" s="1" t="s">
        <v>8</v>
      </c>
      <c r="I434" s="1" t="s">
        <v>8</v>
      </c>
      <c r="J434" s="1"/>
    </row>
    <row r="435" spans="1:10">
      <c r="A435" s="35"/>
      <c r="B435" s="36"/>
      <c r="C435" s="1">
        <v>6</v>
      </c>
      <c r="D435" s="1">
        <v>125</v>
      </c>
      <c r="E435" s="1">
        <v>123</v>
      </c>
      <c r="F435" s="1" t="s">
        <v>8</v>
      </c>
      <c r="G435" s="1" t="s">
        <v>8</v>
      </c>
      <c r="H435" s="1" t="s">
        <v>8</v>
      </c>
      <c r="I435" s="1" t="s">
        <v>8</v>
      </c>
      <c r="J435" s="1"/>
    </row>
    <row r="436" spans="1:10">
      <c r="A436" s="35"/>
      <c r="B436" s="36"/>
      <c r="C436" s="1">
        <v>7</v>
      </c>
      <c r="D436" s="1">
        <v>98</v>
      </c>
      <c r="E436" s="1">
        <v>154</v>
      </c>
      <c r="F436" s="1" t="s">
        <v>8</v>
      </c>
      <c r="G436" s="1" t="s">
        <v>8</v>
      </c>
      <c r="H436" s="1" t="s">
        <v>8</v>
      </c>
      <c r="I436" s="1" t="s">
        <v>8</v>
      </c>
      <c r="J436" s="1"/>
    </row>
    <row r="437" spans="1:10">
      <c r="A437" s="35"/>
      <c r="B437" s="36"/>
      <c r="C437" s="7" t="s">
        <v>6</v>
      </c>
      <c r="D437" s="8">
        <f>IF(SUM(D430:D436)=0,"-",SUM(D430:D436))</f>
        <v>741</v>
      </c>
      <c r="E437" s="8">
        <f t="shared" ref="E437:G437" si="140">IF(SUM(E430:E436)=0,"-",SUM(E430:E436))</f>
        <v>867</v>
      </c>
      <c r="F437" s="8" t="str">
        <f t="shared" si="140"/>
        <v>-</v>
      </c>
      <c r="G437" s="8" t="str">
        <f t="shared" si="140"/>
        <v>-</v>
      </c>
      <c r="H437" s="8" t="str">
        <f t="shared" ref="H437:I437" si="141">IF(SUM(H430:H436)=0,"-",SUM(H430:H436))</f>
        <v>-</v>
      </c>
      <c r="I437" s="8" t="str">
        <f t="shared" si="141"/>
        <v>-</v>
      </c>
      <c r="J437" s="8"/>
    </row>
    <row r="438" spans="1:10">
      <c r="A438" s="35"/>
      <c r="B438" s="36"/>
      <c r="C438" s="9" t="s">
        <v>7</v>
      </c>
      <c r="D438" s="10">
        <f>IF(D437="-","-",D437/MAX($C430:$C436))</f>
        <v>105.85714285714286</v>
      </c>
      <c r="E438" s="10">
        <f t="shared" ref="E438:G438" si="142">IF(E437="-","-",E437/MAX($C430:$C436))</f>
        <v>123.85714285714286</v>
      </c>
      <c r="F438" s="10" t="str">
        <f t="shared" si="142"/>
        <v>-</v>
      </c>
      <c r="G438" s="10" t="str">
        <f t="shared" si="142"/>
        <v>-</v>
      </c>
      <c r="H438" s="10" t="str">
        <f t="shared" ref="H438:I438" si="143">IF(H437="-","-",H437/MAX($C430:$C436))</f>
        <v>-</v>
      </c>
      <c r="I438" s="10" t="str">
        <f t="shared" si="143"/>
        <v>-</v>
      </c>
      <c r="J438" s="10"/>
    </row>
    <row r="439" spans="1:10">
      <c r="A439" s="34" t="s">
        <v>53</v>
      </c>
      <c r="B439" s="36">
        <v>44745</v>
      </c>
      <c r="C439" s="1">
        <v>1</v>
      </c>
      <c r="D439" s="1">
        <v>111</v>
      </c>
      <c r="E439" s="1">
        <v>130</v>
      </c>
      <c r="F439" s="1" t="s">
        <v>8</v>
      </c>
      <c r="G439" s="1" t="s">
        <v>8</v>
      </c>
      <c r="H439" s="1">
        <v>122</v>
      </c>
      <c r="I439" s="1" t="s">
        <v>8</v>
      </c>
      <c r="J439" s="1"/>
    </row>
    <row r="440" spans="1:10">
      <c r="A440" s="35"/>
      <c r="B440" s="36"/>
      <c r="C440" s="1">
        <v>2</v>
      </c>
      <c r="D440" s="1">
        <v>105</v>
      </c>
      <c r="E440" s="1">
        <v>146</v>
      </c>
      <c r="F440" s="1" t="s">
        <v>8</v>
      </c>
      <c r="G440" s="1" t="s">
        <v>8</v>
      </c>
      <c r="H440" s="1">
        <v>118</v>
      </c>
      <c r="I440" s="1" t="s">
        <v>8</v>
      </c>
      <c r="J440" s="1"/>
    </row>
    <row r="441" spans="1:10">
      <c r="A441" s="35"/>
      <c r="B441" s="36"/>
      <c r="C441" s="1">
        <v>3</v>
      </c>
      <c r="D441" s="1">
        <v>117</v>
      </c>
      <c r="E441" s="1">
        <v>122</v>
      </c>
      <c r="F441" s="1" t="s">
        <v>8</v>
      </c>
      <c r="G441" s="1" t="s">
        <v>8</v>
      </c>
      <c r="H441" s="1">
        <v>124</v>
      </c>
      <c r="I441" s="1" t="s">
        <v>8</v>
      </c>
      <c r="J441" s="1"/>
    </row>
    <row r="442" spans="1:10">
      <c r="A442" s="35"/>
      <c r="B442" s="36"/>
      <c r="C442" s="1">
        <v>4</v>
      </c>
      <c r="D442" s="1">
        <v>117</v>
      </c>
      <c r="E442" s="1">
        <v>118</v>
      </c>
      <c r="F442" s="1" t="s">
        <v>8</v>
      </c>
      <c r="G442" s="1" t="s">
        <v>8</v>
      </c>
      <c r="H442" s="1">
        <v>100</v>
      </c>
      <c r="I442" s="1" t="s">
        <v>8</v>
      </c>
      <c r="J442" s="1"/>
    </row>
    <row r="443" spans="1:10">
      <c r="A443" s="35"/>
      <c r="B443" s="36"/>
      <c r="C443" s="1">
        <v>5</v>
      </c>
      <c r="D443" s="1">
        <v>116</v>
      </c>
      <c r="E443" s="1">
        <v>114</v>
      </c>
      <c r="F443" s="1" t="s">
        <v>8</v>
      </c>
      <c r="G443" s="1" t="s">
        <v>8</v>
      </c>
      <c r="H443" s="1">
        <v>122</v>
      </c>
      <c r="I443" s="1" t="s">
        <v>8</v>
      </c>
      <c r="J443" s="1"/>
    </row>
    <row r="444" spans="1:10">
      <c r="A444" s="35"/>
      <c r="B444" s="36"/>
      <c r="C444" s="7" t="s">
        <v>6</v>
      </c>
      <c r="D444" s="8">
        <f t="shared" ref="D444:I444" si="144">IF(SUM(D439:D443)=0,"-",SUM(D439:D443))</f>
        <v>566</v>
      </c>
      <c r="E444" s="8">
        <f t="shared" si="144"/>
        <v>630</v>
      </c>
      <c r="F444" s="8" t="str">
        <f t="shared" si="144"/>
        <v>-</v>
      </c>
      <c r="G444" s="8" t="str">
        <f t="shared" si="144"/>
        <v>-</v>
      </c>
      <c r="H444" s="8">
        <f t="shared" si="144"/>
        <v>586</v>
      </c>
      <c r="I444" s="8" t="str">
        <f t="shared" si="144"/>
        <v>-</v>
      </c>
      <c r="J444" s="8"/>
    </row>
    <row r="445" spans="1:10">
      <c r="A445" s="35"/>
      <c r="B445" s="36"/>
      <c r="C445" s="9" t="s">
        <v>7</v>
      </c>
      <c r="D445" s="10">
        <f>IF(D444="-","-",D444/MAX($C439:$C443))</f>
        <v>113.2</v>
      </c>
      <c r="E445" s="10">
        <f>IF(E444="-","-",E444/MAX($C439:$C443))</f>
        <v>126</v>
      </c>
      <c r="F445" s="10" t="str">
        <f>IF(F444="-","-",F444/ (MAX($C439:$C443)-2))</f>
        <v>-</v>
      </c>
      <c r="G445" s="10" t="str">
        <f>IF(G444="-","-",G444/MAX($C439:$C443))</f>
        <v>-</v>
      </c>
      <c r="H445" s="10">
        <f>IF(H444="-","-",H444/MAX($C439:$C443))</f>
        <v>117.2</v>
      </c>
      <c r="I445" s="10" t="str">
        <f>IF(I444="-","-",I444/MAX($C439:$C443))</f>
        <v>-</v>
      </c>
      <c r="J445" s="10"/>
    </row>
    <row r="446" spans="1:10">
      <c r="A446" s="34" t="s">
        <v>54</v>
      </c>
      <c r="B446" s="36">
        <v>44772</v>
      </c>
      <c r="C446" s="1">
        <v>1</v>
      </c>
      <c r="D446" s="1">
        <v>69</v>
      </c>
      <c r="E446" s="1">
        <v>112</v>
      </c>
      <c r="F446" s="1" t="s">
        <v>8</v>
      </c>
      <c r="G446" s="1" t="s">
        <v>8</v>
      </c>
      <c r="H446" s="1">
        <v>118</v>
      </c>
      <c r="I446" s="1" t="s">
        <v>8</v>
      </c>
      <c r="J446" s="1"/>
    </row>
    <row r="447" spans="1:10">
      <c r="A447" s="35"/>
      <c r="B447" s="36"/>
      <c r="C447" s="1">
        <v>2</v>
      </c>
      <c r="D447" s="1">
        <v>103</v>
      </c>
      <c r="E447" s="1">
        <v>153</v>
      </c>
      <c r="F447" s="1" t="s">
        <v>8</v>
      </c>
      <c r="G447" s="1" t="s">
        <v>8</v>
      </c>
      <c r="H447" s="1">
        <v>100</v>
      </c>
      <c r="I447" s="1" t="s">
        <v>8</v>
      </c>
      <c r="J447" s="1"/>
    </row>
    <row r="448" spans="1:10">
      <c r="A448" s="35"/>
      <c r="B448" s="36"/>
      <c r="C448" s="1">
        <v>3</v>
      </c>
      <c r="D448" s="1">
        <v>103</v>
      </c>
      <c r="E448" s="1">
        <v>144</v>
      </c>
      <c r="F448" s="1" t="s">
        <v>8</v>
      </c>
      <c r="G448" s="1" t="s">
        <v>8</v>
      </c>
      <c r="H448" s="1">
        <v>97</v>
      </c>
      <c r="I448" s="1" t="s">
        <v>8</v>
      </c>
      <c r="J448" s="1"/>
    </row>
    <row r="449" spans="1:10">
      <c r="A449" s="35"/>
      <c r="B449" s="36"/>
      <c r="C449" s="1">
        <v>4</v>
      </c>
      <c r="D449" s="1">
        <v>103</v>
      </c>
      <c r="E449" s="1">
        <v>121</v>
      </c>
      <c r="F449" s="1" t="s">
        <v>8</v>
      </c>
      <c r="G449" s="1" t="s">
        <v>8</v>
      </c>
      <c r="H449" s="1">
        <v>124</v>
      </c>
      <c r="I449" s="1" t="s">
        <v>8</v>
      </c>
      <c r="J449" s="1"/>
    </row>
    <row r="450" spans="1:10">
      <c r="A450" s="35"/>
      <c r="B450" s="36"/>
      <c r="C450" s="1">
        <v>5</v>
      </c>
      <c r="D450" s="1">
        <v>90</v>
      </c>
      <c r="E450" s="1">
        <v>128</v>
      </c>
      <c r="F450" s="1" t="s">
        <v>8</v>
      </c>
      <c r="G450" s="1" t="s">
        <v>8</v>
      </c>
      <c r="H450" s="1">
        <v>79</v>
      </c>
      <c r="I450" s="1" t="s">
        <v>8</v>
      </c>
      <c r="J450" s="1"/>
    </row>
    <row r="451" spans="1:10">
      <c r="A451" s="35"/>
      <c r="B451" s="36"/>
      <c r="C451" s="7" t="s">
        <v>6</v>
      </c>
      <c r="D451" s="8">
        <f t="shared" ref="D451:I451" si="145">IF(SUM(D446:D450)=0,"-",SUM(D446:D450))</f>
        <v>468</v>
      </c>
      <c r="E451" s="8">
        <f t="shared" si="145"/>
        <v>658</v>
      </c>
      <c r="F451" s="8" t="str">
        <f t="shared" si="145"/>
        <v>-</v>
      </c>
      <c r="G451" s="8" t="str">
        <f t="shared" si="145"/>
        <v>-</v>
      </c>
      <c r="H451" s="8">
        <f t="shared" si="145"/>
        <v>518</v>
      </c>
      <c r="I451" s="8" t="str">
        <f t="shared" si="145"/>
        <v>-</v>
      </c>
      <c r="J451" s="8"/>
    </row>
    <row r="452" spans="1:10">
      <c r="A452" s="35"/>
      <c r="B452" s="36"/>
      <c r="C452" s="9" t="s">
        <v>7</v>
      </c>
      <c r="D452" s="10">
        <f>IF(D451="-","-",D451/MAX($C446:$C450))</f>
        <v>93.6</v>
      </c>
      <c r="E452" s="10">
        <f>IF(E451="-","-",E451/MAX($C446:$C450))</f>
        <v>131.6</v>
      </c>
      <c r="F452" s="10" t="str">
        <f>IF(F451="-","-",F451/ (MAX($C446:$C450)-2))</f>
        <v>-</v>
      </c>
      <c r="G452" s="10" t="str">
        <f>IF(G451="-","-",G451/MAX($C446:$C450))</f>
        <v>-</v>
      </c>
      <c r="H452" s="10">
        <f>IF(H451="-","-",H451/MAX($C446:$C450))</f>
        <v>103.6</v>
      </c>
      <c r="I452" s="10" t="str">
        <f>IF(I451="-","-",I451/MAX($C446:$C450))</f>
        <v>-</v>
      </c>
      <c r="J452" s="10"/>
    </row>
    <row r="453" spans="1:10">
      <c r="A453" s="34" t="s">
        <v>55</v>
      </c>
      <c r="B453" s="36">
        <v>44836</v>
      </c>
      <c r="C453" s="1">
        <v>1</v>
      </c>
      <c r="D453" s="1">
        <v>117</v>
      </c>
      <c r="E453" s="1">
        <v>148</v>
      </c>
      <c r="F453" s="1" t="s">
        <v>8</v>
      </c>
      <c r="G453" s="1" t="s">
        <v>8</v>
      </c>
      <c r="H453" s="1">
        <v>109</v>
      </c>
      <c r="I453" s="1" t="s">
        <v>8</v>
      </c>
      <c r="J453" s="1"/>
    </row>
    <row r="454" spans="1:10">
      <c r="A454" s="35"/>
      <c r="B454" s="36"/>
      <c r="C454" s="1">
        <v>2</v>
      </c>
      <c r="D454" s="1">
        <v>125</v>
      </c>
      <c r="E454" s="1">
        <v>95</v>
      </c>
      <c r="F454" s="1" t="s">
        <v>8</v>
      </c>
      <c r="G454" s="1" t="s">
        <v>8</v>
      </c>
      <c r="H454" s="1">
        <v>135</v>
      </c>
      <c r="I454" s="1" t="s">
        <v>8</v>
      </c>
      <c r="J454" s="1"/>
    </row>
    <row r="455" spans="1:10">
      <c r="A455" s="35"/>
      <c r="B455" s="36"/>
      <c r="C455" s="1">
        <v>3</v>
      </c>
      <c r="D455" s="1">
        <v>116</v>
      </c>
      <c r="E455" s="1">
        <v>172</v>
      </c>
      <c r="F455" s="1" t="s">
        <v>8</v>
      </c>
      <c r="G455" s="1" t="s">
        <v>8</v>
      </c>
      <c r="H455" s="1">
        <v>109</v>
      </c>
      <c r="I455" s="1" t="s">
        <v>8</v>
      </c>
      <c r="J455" s="1"/>
    </row>
    <row r="456" spans="1:10">
      <c r="A456" s="35"/>
      <c r="B456" s="36"/>
      <c r="C456" s="1">
        <v>4</v>
      </c>
      <c r="D456" s="1">
        <v>98</v>
      </c>
      <c r="E456" s="1">
        <v>173</v>
      </c>
      <c r="F456" s="1" t="s">
        <v>8</v>
      </c>
      <c r="G456" s="1" t="s">
        <v>8</v>
      </c>
      <c r="H456" s="1">
        <v>127</v>
      </c>
      <c r="I456" s="1" t="s">
        <v>8</v>
      </c>
      <c r="J456" s="1"/>
    </row>
    <row r="457" spans="1:10">
      <c r="A457" s="35"/>
      <c r="B457" s="36"/>
      <c r="C457" s="1">
        <v>5</v>
      </c>
      <c r="D457" s="1">
        <v>84</v>
      </c>
      <c r="E457" s="1">
        <v>111</v>
      </c>
      <c r="F457" s="1" t="s">
        <v>8</v>
      </c>
      <c r="G457" s="1" t="s">
        <v>8</v>
      </c>
      <c r="H457" s="1">
        <v>104</v>
      </c>
      <c r="I457" s="1" t="s">
        <v>8</v>
      </c>
      <c r="J457" s="1"/>
    </row>
    <row r="458" spans="1:10">
      <c r="A458" s="35"/>
      <c r="B458" s="36"/>
      <c r="C458" s="7" t="s">
        <v>6</v>
      </c>
      <c r="D458" s="8">
        <f t="shared" ref="D458:I458" si="146">IF(SUM(D453:D457)=0,"-",SUM(D453:D457))</f>
        <v>540</v>
      </c>
      <c r="E458" s="8">
        <f t="shared" si="146"/>
        <v>699</v>
      </c>
      <c r="F458" s="8" t="str">
        <f t="shared" si="146"/>
        <v>-</v>
      </c>
      <c r="G458" s="8" t="str">
        <f t="shared" si="146"/>
        <v>-</v>
      </c>
      <c r="H458" s="8">
        <f t="shared" si="146"/>
        <v>584</v>
      </c>
      <c r="I458" s="8" t="str">
        <f t="shared" si="146"/>
        <v>-</v>
      </c>
      <c r="J458" s="8"/>
    </row>
    <row r="459" spans="1:10">
      <c r="A459" s="35"/>
      <c r="B459" s="36"/>
      <c r="C459" s="9" t="s">
        <v>7</v>
      </c>
      <c r="D459" s="10">
        <f>IF(D458="-","-",D458/MAX($C453:$C457))</f>
        <v>108</v>
      </c>
      <c r="E459" s="10">
        <f>IF(E458="-","-",E458/MAX($C453:$C457))</f>
        <v>139.80000000000001</v>
      </c>
      <c r="F459" s="10" t="str">
        <f>IF(F458="-","-",F458/ (MAX($C453:$C457)-2))</f>
        <v>-</v>
      </c>
      <c r="G459" s="10" t="str">
        <f>IF(G458="-","-",G458/MAX($C453:$C457))</f>
        <v>-</v>
      </c>
      <c r="H459" s="10">
        <f>IF(H458="-","-",H458/MAX($C453:$C457))</f>
        <v>116.8</v>
      </c>
      <c r="I459" s="10" t="str">
        <f>IF(I458="-","-",I458/MAX($C453:$C457))</f>
        <v>-</v>
      </c>
      <c r="J459" s="10"/>
    </row>
    <row r="460" spans="1:10">
      <c r="A460" s="34" t="s">
        <v>56</v>
      </c>
      <c r="B460" s="36">
        <v>44850</v>
      </c>
      <c r="C460" s="1">
        <v>1</v>
      </c>
      <c r="D460" s="1">
        <v>110</v>
      </c>
      <c r="E460" s="1">
        <v>178</v>
      </c>
      <c r="F460" s="1" t="s">
        <v>8</v>
      </c>
      <c r="G460" s="1" t="s">
        <v>8</v>
      </c>
      <c r="H460" s="1">
        <v>121</v>
      </c>
      <c r="I460" s="1" t="s">
        <v>8</v>
      </c>
      <c r="J460" s="1"/>
    </row>
    <row r="461" spans="1:10">
      <c r="A461" s="35"/>
      <c r="B461" s="36"/>
      <c r="C461" s="1">
        <v>2</v>
      </c>
      <c r="D461" s="1">
        <v>112</v>
      </c>
      <c r="E461" s="1">
        <v>102</v>
      </c>
      <c r="F461" s="1" t="s">
        <v>8</v>
      </c>
      <c r="G461" s="1" t="s">
        <v>8</v>
      </c>
      <c r="H461" s="1">
        <v>102</v>
      </c>
      <c r="I461" s="1" t="s">
        <v>8</v>
      </c>
      <c r="J461" s="1"/>
    </row>
    <row r="462" spans="1:10">
      <c r="A462" s="35"/>
      <c r="B462" s="36"/>
      <c r="C462" s="1">
        <v>3</v>
      </c>
      <c r="D462" s="1">
        <v>109</v>
      </c>
      <c r="E462" s="1">
        <v>147</v>
      </c>
      <c r="F462" s="1" t="s">
        <v>8</v>
      </c>
      <c r="G462" s="1" t="s">
        <v>8</v>
      </c>
      <c r="H462" s="1">
        <v>106</v>
      </c>
      <c r="I462" s="1" t="s">
        <v>8</v>
      </c>
      <c r="J462" s="1"/>
    </row>
    <row r="463" spans="1:10">
      <c r="A463" s="35"/>
      <c r="B463" s="36"/>
      <c r="C463" s="1">
        <v>4</v>
      </c>
      <c r="D463" s="1">
        <v>82</v>
      </c>
      <c r="E463" s="1">
        <v>151</v>
      </c>
      <c r="F463" s="1" t="s">
        <v>8</v>
      </c>
      <c r="G463" s="1" t="s">
        <v>8</v>
      </c>
      <c r="H463" s="1">
        <v>95</v>
      </c>
      <c r="I463" s="1" t="s">
        <v>8</v>
      </c>
      <c r="J463" s="1"/>
    </row>
    <row r="464" spans="1:10">
      <c r="A464" s="35"/>
      <c r="B464" s="36"/>
      <c r="C464" s="1">
        <v>5</v>
      </c>
      <c r="D464" s="1">
        <v>132</v>
      </c>
      <c r="E464" s="1">
        <v>174</v>
      </c>
      <c r="F464" s="1" t="s">
        <v>8</v>
      </c>
      <c r="G464" s="1" t="s">
        <v>8</v>
      </c>
      <c r="H464" s="1">
        <v>99</v>
      </c>
      <c r="I464" s="1" t="s">
        <v>8</v>
      </c>
      <c r="J464" s="1"/>
    </row>
    <row r="465" spans="1:10">
      <c r="A465" s="35"/>
      <c r="B465" s="36"/>
      <c r="C465" s="7" t="s">
        <v>6</v>
      </c>
      <c r="D465" s="8">
        <f t="shared" ref="D465:I465" si="147">IF(SUM(D460:D464)=0,"-",SUM(D460:D464))</f>
        <v>545</v>
      </c>
      <c r="E465" s="8">
        <f t="shared" si="147"/>
        <v>752</v>
      </c>
      <c r="F465" s="8" t="str">
        <f t="shared" si="147"/>
        <v>-</v>
      </c>
      <c r="G465" s="8" t="str">
        <f t="shared" si="147"/>
        <v>-</v>
      </c>
      <c r="H465" s="8">
        <f t="shared" si="147"/>
        <v>523</v>
      </c>
      <c r="I465" s="8" t="str">
        <f t="shared" si="147"/>
        <v>-</v>
      </c>
      <c r="J465" s="8"/>
    </row>
    <row r="466" spans="1:10">
      <c r="A466" s="35"/>
      <c r="B466" s="36"/>
      <c r="C466" s="9" t="s">
        <v>7</v>
      </c>
      <c r="D466" s="10">
        <f>IF(D465="-","-",D465/MAX($C460:$C464))</f>
        <v>109</v>
      </c>
      <c r="E466" s="10">
        <f>IF(E465="-","-",E465/MAX($C460:$C464))</f>
        <v>150.4</v>
      </c>
      <c r="F466" s="10" t="str">
        <f>IF(F465="-","-",F465/ (MAX($C460:$C464)-2))</f>
        <v>-</v>
      </c>
      <c r="G466" s="10" t="str">
        <f>IF(G465="-","-",G465/MAX($C460:$C464))</f>
        <v>-</v>
      </c>
      <c r="H466" s="10">
        <f>IF(H465="-","-",H465/MAX($C460:$C464))</f>
        <v>104.6</v>
      </c>
      <c r="I466" s="10" t="str">
        <f>IF(I465="-","-",I465/MAX($C460:$C464))</f>
        <v>-</v>
      </c>
      <c r="J466" s="10"/>
    </row>
    <row r="467" spans="1:10">
      <c r="A467" s="34" t="s">
        <v>57</v>
      </c>
      <c r="B467" s="36">
        <v>44891</v>
      </c>
      <c r="C467" s="1">
        <v>1</v>
      </c>
      <c r="D467" s="1">
        <v>111</v>
      </c>
      <c r="E467" s="1">
        <v>105</v>
      </c>
      <c r="F467" s="1" t="s">
        <v>8</v>
      </c>
      <c r="G467" s="1" t="s">
        <v>8</v>
      </c>
      <c r="H467" s="1">
        <v>87</v>
      </c>
      <c r="I467" s="1" t="s">
        <v>8</v>
      </c>
      <c r="J467" s="1"/>
    </row>
    <row r="468" spans="1:10">
      <c r="A468" s="35"/>
      <c r="B468" s="36"/>
      <c r="C468" s="1">
        <v>2</v>
      </c>
      <c r="D468" s="1">
        <v>98</v>
      </c>
      <c r="E468" s="1">
        <v>138</v>
      </c>
      <c r="F468" s="1" t="s">
        <v>8</v>
      </c>
      <c r="G468" s="1" t="s">
        <v>8</v>
      </c>
      <c r="H468" s="1">
        <v>97</v>
      </c>
      <c r="I468" s="1" t="s">
        <v>8</v>
      </c>
      <c r="J468" s="1"/>
    </row>
    <row r="469" spans="1:10">
      <c r="A469" s="35"/>
      <c r="B469" s="36"/>
      <c r="C469" s="1">
        <v>3</v>
      </c>
      <c r="D469" s="1">
        <v>103</v>
      </c>
      <c r="E469" s="1">
        <v>124</v>
      </c>
      <c r="F469" s="1" t="s">
        <v>8</v>
      </c>
      <c r="G469" s="1" t="s">
        <v>8</v>
      </c>
      <c r="H469" s="1">
        <v>113</v>
      </c>
      <c r="I469" s="1" t="s">
        <v>8</v>
      </c>
      <c r="J469" s="1"/>
    </row>
    <row r="470" spans="1:10">
      <c r="A470" s="35"/>
      <c r="B470" s="36"/>
      <c r="C470" s="1">
        <v>4</v>
      </c>
      <c r="D470" s="1">
        <v>143</v>
      </c>
      <c r="E470" s="1">
        <v>146</v>
      </c>
      <c r="F470" s="1" t="s">
        <v>8</v>
      </c>
      <c r="G470" s="1" t="s">
        <v>8</v>
      </c>
      <c r="H470" s="1">
        <v>105</v>
      </c>
      <c r="I470" s="1" t="s">
        <v>8</v>
      </c>
      <c r="J470" s="1"/>
    </row>
    <row r="471" spans="1:10">
      <c r="A471" s="35"/>
      <c r="B471" s="36"/>
      <c r="C471" s="1">
        <v>5</v>
      </c>
      <c r="D471" s="1">
        <v>114</v>
      </c>
      <c r="E471" s="1">
        <v>141</v>
      </c>
      <c r="F471" s="1" t="s">
        <v>8</v>
      </c>
      <c r="G471" s="1" t="s">
        <v>8</v>
      </c>
      <c r="H471" s="1">
        <v>133</v>
      </c>
      <c r="I471" s="1" t="s">
        <v>8</v>
      </c>
      <c r="J471" s="1"/>
    </row>
    <row r="472" spans="1:10">
      <c r="A472" s="35"/>
      <c r="B472" s="36"/>
      <c r="C472" s="1">
        <v>6</v>
      </c>
      <c r="D472" s="1">
        <v>81</v>
      </c>
      <c r="E472" s="1">
        <v>148</v>
      </c>
      <c r="F472" s="1" t="s">
        <v>8</v>
      </c>
      <c r="G472" s="1" t="s">
        <v>8</v>
      </c>
      <c r="H472" s="1">
        <v>137</v>
      </c>
      <c r="I472" s="1" t="s">
        <v>8</v>
      </c>
      <c r="J472" s="1"/>
    </row>
    <row r="473" spans="1:10">
      <c r="A473" s="35"/>
      <c r="B473" s="36"/>
      <c r="C473" s="1">
        <v>7</v>
      </c>
      <c r="D473" s="1">
        <v>99</v>
      </c>
      <c r="E473" s="1">
        <v>138</v>
      </c>
      <c r="F473" s="1" t="s">
        <v>8</v>
      </c>
      <c r="G473" s="1" t="s">
        <v>8</v>
      </c>
      <c r="H473" s="1">
        <v>113</v>
      </c>
      <c r="I473" s="1" t="s">
        <v>8</v>
      </c>
      <c r="J473" s="1"/>
    </row>
    <row r="474" spans="1:10">
      <c r="A474" s="35"/>
      <c r="B474" s="36"/>
      <c r="C474" s="1">
        <v>8</v>
      </c>
      <c r="D474" s="1">
        <v>125</v>
      </c>
      <c r="E474" s="1">
        <v>135</v>
      </c>
      <c r="F474" s="1" t="s">
        <v>8</v>
      </c>
      <c r="G474" s="1" t="s">
        <v>8</v>
      </c>
      <c r="H474" s="1">
        <v>111</v>
      </c>
      <c r="I474" s="1" t="s">
        <v>8</v>
      </c>
      <c r="J474" s="1"/>
    </row>
    <row r="475" spans="1:10">
      <c r="A475" s="35"/>
      <c r="B475" s="36"/>
      <c r="C475" s="7" t="s">
        <v>6</v>
      </c>
      <c r="D475" s="8">
        <f>IF(SUM(D467:D474)=0,"-",SUM(D467:D474))</f>
        <v>874</v>
      </c>
      <c r="E475" s="8">
        <f t="shared" ref="E475:H475" si="148">IF(SUM(E467:E474)=0,"-",SUM(E467:E474))</f>
        <v>1075</v>
      </c>
      <c r="F475" s="8" t="str">
        <f t="shared" si="148"/>
        <v>-</v>
      </c>
      <c r="G475" s="8" t="str">
        <f t="shared" si="148"/>
        <v>-</v>
      </c>
      <c r="H475" s="8">
        <f t="shared" si="148"/>
        <v>896</v>
      </c>
      <c r="I475" s="8" t="str">
        <f t="shared" ref="I475" si="149">IF(SUM(I467:I474)=0,"-",SUM(I467:I474))</f>
        <v>-</v>
      </c>
      <c r="J475" s="8"/>
    </row>
    <row r="476" spans="1:10">
      <c r="A476" s="35"/>
      <c r="B476" s="36"/>
      <c r="C476" s="9" t="s">
        <v>7</v>
      </c>
      <c r="D476" s="10">
        <f>IF(D475="-","-",D475/MAX($C467:$C474))</f>
        <v>109.25</v>
      </c>
      <c r="E476" s="10">
        <f t="shared" ref="E476:H476" si="150">IF(E475="-","-",E475/MAX($C467:$C474))</f>
        <v>134.375</v>
      </c>
      <c r="F476" s="10" t="str">
        <f t="shared" si="150"/>
        <v>-</v>
      </c>
      <c r="G476" s="10" t="str">
        <f t="shared" si="150"/>
        <v>-</v>
      </c>
      <c r="H476" s="10">
        <f t="shared" si="150"/>
        <v>112</v>
      </c>
      <c r="I476" s="10" t="str">
        <f t="shared" ref="I476" si="151">IF(I475="-","-",I475/MAX($C467:$C474))</f>
        <v>-</v>
      </c>
      <c r="J476" s="10"/>
    </row>
    <row r="477" spans="1:10">
      <c r="A477" s="34" t="s">
        <v>58</v>
      </c>
      <c r="B477" s="36">
        <v>45020</v>
      </c>
      <c r="C477" s="1">
        <v>1</v>
      </c>
      <c r="D477" s="1">
        <v>78</v>
      </c>
      <c r="E477" s="1">
        <v>113</v>
      </c>
      <c r="F477" s="1" t="s">
        <v>8</v>
      </c>
      <c r="G477" s="1" t="s">
        <v>8</v>
      </c>
      <c r="H477" s="1">
        <v>96</v>
      </c>
      <c r="I477" s="1" t="s">
        <v>8</v>
      </c>
      <c r="J477" s="1"/>
    </row>
    <row r="478" spans="1:10">
      <c r="A478" s="35"/>
      <c r="B478" s="36"/>
      <c r="C478" s="1">
        <v>2</v>
      </c>
      <c r="D478" s="1">
        <v>108</v>
      </c>
      <c r="E478" s="1">
        <v>122</v>
      </c>
      <c r="F478" s="1" t="s">
        <v>8</v>
      </c>
      <c r="G478" s="1" t="s">
        <v>8</v>
      </c>
      <c r="H478" s="1">
        <v>114</v>
      </c>
      <c r="I478" s="1" t="s">
        <v>8</v>
      </c>
      <c r="J478" s="1"/>
    </row>
    <row r="479" spans="1:10">
      <c r="A479" s="35"/>
      <c r="B479" s="36"/>
      <c r="C479" s="1">
        <v>3</v>
      </c>
      <c r="D479" s="1">
        <v>94</v>
      </c>
      <c r="E479" s="1">
        <v>136</v>
      </c>
      <c r="F479" s="1" t="s">
        <v>8</v>
      </c>
      <c r="G479" s="1" t="s">
        <v>8</v>
      </c>
      <c r="H479" s="1">
        <v>112</v>
      </c>
      <c r="I479" s="1" t="s">
        <v>8</v>
      </c>
      <c r="J479" s="1"/>
    </row>
    <row r="480" spans="1:10">
      <c r="A480" s="35"/>
      <c r="B480" s="36"/>
      <c r="C480" s="1">
        <v>4</v>
      </c>
      <c r="D480" s="1">
        <v>90</v>
      </c>
      <c r="E480" s="1">
        <v>115</v>
      </c>
      <c r="F480" s="1" t="s">
        <v>8</v>
      </c>
      <c r="G480" s="1" t="s">
        <v>8</v>
      </c>
      <c r="H480" s="1">
        <v>94</v>
      </c>
      <c r="I480" s="1" t="s">
        <v>8</v>
      </c>
      <c r="J480" s="1"/>
    </row>
    <row r="481" spans="1:10">
      <c r="A481" s="35"/>
      <c r="B481" s="36"/>
      <c r="C481" s="1">
        <v>5</v>
      </c>
      <c r="D481" s="1">
        <v>110</v>
      </c>
      <c r="E481" s="1">
        <v>152</v>
      </c>
      <c r="F481" s="1" t="s">
        <v>8</v>
      </c>
      <c r="G481" s="1" t="s">
        <v>8</v>
      </c>
      <c r="H481" s="1">
        <v>107</v>
      </c>
      <c r="I481" s="1" t="s">
        <v>8</v>
      </c>
      <c r="J481" s="1"/>
    </row>
    <row r="482" spans="1:10">
      <c r="A482" s="35"/>
      <c r="B482" s="36"/>
      <c r="C482" s="7" t="s">
        <v>6</v>
      </c>
      <c r="D482" s="8">
        <f t="shared" ref="D482:I482" si="152">IF(SUM(D477:D481)=0,"-",SUM(D477:D481))</f>
        <v>480</v>
      </c>
      <c r="E482" s="8">
        <f t="shared" si="152"/>
        <v>638</v>
      </c>
      <c r="F482" s="8" t="str">
        <f t="shared" si="152"/>
        <v>-</v>
      </c>
      <c r="G482" s="8" t="str">
        <f t="shared" si="152"/>
        <v>-</v>
      </c>
      <c r="H482" s="8">
        <f t="shared" si="152"/>
        <v>523</v>
      </c>
      <c r="I482" s="8" t="str">
        <f t="shared" si="152"/>
        <v>-</v>
      </c>
      <c r="J482" s="8"/>
    </row>
    <row r="483" spans="1:10">
      <c r="A483" s="35"/>
      <c r="B483" s="36"/>
      <c r="C483" s="9" t="s">
        <v>7</v>
      </c>
      <c r="D483" s="10">
        <f>IF(D482="-","-",D482/MAX($C477:$C481))</f>
        <v>96</v>
      </c>
      <c r="E483" s="10">
        <f>IF(E482="-","-",E482/MAX($C477:$C481))</f>
        <v>127.6</v>
      </c>
      <c r="F483" s="10" t="str">
        <f>IF(F482="-","-",F482/ (MAX($C477:$C481)-2))</f>
        <v>-</v>
      </c>
      <c r="G483" s="10" t="str">
        <f>IF(G482="-","-",G482/MAX($C477:$C481))</f>
        <v>-</v>
      </c>
      <c r="H483" s="10">
        <f>IF(H482="-","-",H482/MAX($C477:$C481))</f>
        <v>104.6</v>
      </c>
      <c r="I483" s="10" t="str">
        <f>IF(I482="-","-",I482/MAX($C477:$C481))</f>
        <v>-</v>
      </c>
      <c r="J483" s="10"/>
    </row>
    <row r="484" spans="1:10">
      <c r="A484" s="34" t="s">
        <v>59</v>
      </c>
      <c r="B484" s="36">
        <v>45045</v>
      </c>
      <c r="C484" s="1">
        <v>1</v>
      </c>
      <c r="D484" s="1">
        <v>94</v>
      </c>
      <c r="E484" s="1">
        <v>165</v>
      </c>
      <c r="F484" s="1" t="s">
        <v>8</v>
      </c>
      <c r="G484" s="1" t="s">
        <v>8</v>
      </c>
      <c r="H484" s="1">
        <v>136</v>
      </c>
      <c r="I484" s="1" t="s">
        <v>8</v>
      </c>
      <c r="J484" s="1"/>
    </row>
    <row r="485" spans="1:10">
      <c r="A485" s="35"/>
      <c r="B485" s="36"/>
      <c r="C485" s="1">
        <v>2</v>
      </c>
      <c r="D485" s="1">
        <v>142</v>
      </c>
      <c r="E485" s="1">
        <v>145</v>
      </c>
      <c r="F485" s="1" t="s">
        <v>8</v>
      </c>
      <c r="G485" s="1" t="s">
        <v>8</v>
      </c>
      <c r="H485" s="1">
        <v>79</v>
      </c>
      <c r="I485" s="1" t="s">
        <v>8</v>
      </c>
      <c r="J485" s="1"/>
    </row>
    <row r="486" spans="1:10">
      <c r="A486" s="35"/>
      <c r="B486" s="36"/>
      <c r="C486" s="1">
        <v>3</v>
      </c>
      <c r="D486" s="1">
        <v>139</v>
      </c>
      <c r="E486" s="1">
        <v>135</v>
      </c>
      <c r="F486" s="1" t="s">
        <v>8</v>
      </c>
      <c r="G486" s="1" t="s">
        <v>8</v>
      </c>
      <c r="H486" s="1">
        <v>104</v>
      </c>
      <c r="I486" s="1" t="s">
        <v>8</v>
      </c>
      <c r="J486" s="1"/>
    </row>
    <row r="487" spans="1:10">
      <c r="A487" s="35"/>
      <c r="B487" s="36"/>
      <c r="C487" s="1">
        <v>4</v>
      </c>
      <c r="D487" s="1">
        <v>114</v>
      </c>
      <c r="E487" s="1">
        <v>222</v>
      </c>
      <c r="F487" s="1" t="s">
        <v>8</v>
      </c>
      <c r="G487" s="1" t="s">
        <v>8</v>
      </c>
      <c r="H487" s="1">
        <v>169</v>
      </c>
      <c r="I487" s="1" t="s">
        <v>8</v>
      </c>
      <c r="J487" s="1"/>
    </row>
    <row r="488" spans="1:10">
      <c r="A488" s="35"/>
      <c r="B488" s="36"/>
      <c r="C488" s="1">
        <v>5</v>
      </c>
      <c r="D488" s="1">
        <v>112</v>
      </c>
      <c r="E488" s="1">
        <v>154</v>
      </c>
      <c r="F488" s="1" t="s">
        <v>8</v>
      </c>
      <c r="G488" s="1" t="s">
        <v>8</v>
      </c>
      <c r="H488" s="1">
        <v>87</v>
      </c>
      <c r="I488" s="1" t="s">
        <v>8</v>
      </c>
      <c r="J488" s="1"/>
    </row>
    <row r="489" spans="1:10">
      <c r="A489" s="35"/>
      <c r="B489" s="36"/>
      <c r="C489" s="7" t="s">
        <v>6</v>
      </c>
      <c r="D489" s="8">
        <f t="shared" ref="D489:I489" si="153">IF(SUM(D484:D488)=0,"-",SUM(D484:D488))</f>
        <v>601</v>
      </c>
      <c r="E489" s="8">
        <f t="shared" si="153"/>
        <v>821</v>
      </c>
      <c r="F489" s="8" t="str">
        <f t="shared" si="153"/>
        <v>-</v>
      </c>
      <c r="G489" s="8" t="str">
        <f t="shared" si="153"/>
        <v>-</v>
      </c>
      <c r="H489" s="8">
        <f t="shared" si="153"/>
        <v>575</v>
      </c>
      <c r="I489" s="8" t="str">
        <f t="shared" si="153"/>
        <v>-</v>
      </c>
      <c r="J489" s="8"/>
    </row>
    <row r="490" spans="1:10">
      <c r="A490" s="35"/>
      <c r="B490" s="36"/>
      <c r="C490" s="9" t="s">
        <v>7</v>
      </c>
      <c r="D490" s="10">
        <f>IF(D489="-","-",D489/MAX($C484:$C488))</f>
        <v>120.2</v>
      </c>
      <c r="E490" s="10">
        <f>IF(E489="-","-",E489/MAX($C484:$C488))</f>
        <v>164.2</v>
      </c>
      <c r="F490" s="10" t="str">
        <f>IF(F489="-","-",F489/ (MAX($C484:$C488)-2))</f>
        <v>-</v>
      </c>
      <c r="G490" s="10" t="str">
        <f>IF(G489="-","-",G489/MAX($C484:$C488))</f>
        <v>-</v>
      </c>
      <c r="H490" s="10">
        <f>IF(H489="-","-",H489/MAX($C484:$C488))</f>
        <v>115</v>
      </c>
      <c r="I490" s="10" t="str">
        <f>IF(I489="-","-",I489/MAX($C484:$C488))</f>
        <v>-</v>
      </c>
      <c r="J490" s="10"/>
    </row>
    <row r="491" spans="1:10">
      <c r="A491" s="34" t="s">
        <v>60</v>
      </c>
      <c r="B491" s="36">
        <v>45074</v>
      </c>
      <c r="C491" s="1">
        <v>1</v>
      </c>
      <c r="D491" s="1">
        <v>127</v>
      </c>
      <c r="E491" s="1">
        <v>142</v>
      </c>
      <c r="F491" s="1" t="s">
        <v>8</v>
      </c>
      <c r="G491" s="1" t="s">
        <v>8</v>
      </c>
      <c r="H491" s="1">
        <v>134</v>
      </c>
      <c r="I491" s="1" t="s">
        <v>8</v>
      </c>
      <c r="J491" s="1"/>
    </row>
    <row r="492" spans="1:10">
      <c r="A492" s="35"/>
      <c r="B492" s="36"/>
      <c r="C492" s="1">
        <v>2</v>
      </c>
      <c r="D492" s="1">
        <v>124</v>
      </c>
      <c r="E492" s="1">
        <v>149</v>
      </c>
      <c r="F492" s="1" t="s">
        <v>8</v>
      </c>
      <c r="G492" s="1" t="s">
        <v>8</v>
      </c>
      <c r="H492" s="1">
        <v>146</v>
      </c>
      <c r="I492" s="1" t="s">
        <v>8</v>
      </c>
      <c r="J492" s="1"/>
    </row>
    <row r="493" spans="1:10">
      <c r="A493" s="35"/>
      <c r="B493" s="36"/>
      <c r="C493" s="1">
        <v>3</v>
      </c>
      <c r="D493" s="1">
        <v>110</v>
      </c>
      <c r="E493" s="1">
        <v>149</v>
      </c>
      <c r="F493" s="1" t="s">
        <v>8</v>
      </c>
      <c r="G493" s="1" t="s">
        <v>8</v>
      </c>
      <c r="H493" s="1">
        <v>84</v>
      </c>
      <c r="I493" s="1" t="s">
        <v>8</v>
      </c>
      <c r="J493" s="1"/>
    </row>
    <row r="494" spans="1:10">
      <c r="A494" s="35"/>
      <c r="B494" s="36"/>
      <c r="C494" s="1">
        <v>4</v>
      </c>
      <c r="D494" s="1">
        <v>119</v>
      </c>
      <c r="E494" s="1">
        <v>162</v>
      </c>
      <c r="F494" s="1" t="s">
        <v>8</v>
      </c>
      <c r="G494" s="1" t="s">
        <v>8</v>
      </c>
      <c r="H494" s="1">
        <v>137</v>
      </c>
      <c r="I494" s="1" t="s">
        <v>8</v>
      </c>
      <c r="J494" s="1"/>
    </row>
    <row r="495" spans="1:10">
      <c r="A495" s="35"/>
      <c r="B495" s="36"/>
      <c r="C495" s="1">
        <v>5</v>
      </c>
      <c r="D495" s="1">
        <v>101</v>
      </c>
      <c r="E495" s="1">
        <v>138</v>
      </c>
      <c r="F495" s="1" t="s">
        <v>8</v>
      </c>
      <c r="G495" s="1" t="s">
        <v>8</v>
      </c>
      <c r="H495" s="1">
        <v>98</v>
      </c>
      <c r="I495" s="1" t="s">
        <v>8</v>
      </c>
      <c r="J495" s="1"/>
    </row>
    <row r="496" spans="1:10">
      <c r="A496" s="35"/>
      <c r="B496" s="36"/>
      <c r="C496" s="7" t="s">
        <v>6</v>
      </c>
      <c r="D496" s="8">
        <f t="shared" ref="D496:I496" si="154">IF(SUM(D491:D495)=0,"-",SUM(D491:D495))</f>
        <v>581</v>
      </c>
      <c r="E496" s="8">
        <f t="shared" si="154"/>
        <v>740</v>
      </c>
      <c r="F496" s="8" t="str">
        <f t="shared" si="154"/>
        <v>-</v>
      </c>
      <c r="G496" s="8" t="str">
        <f t="shared" si="154"/>
        <v>-</v>
      </c>
      <c r="H496" s="8">
        <f t="shared" si="154"/>
        <v>599</v>
      </c>
      <c r="I496" s="8" t="str">
        <f t="shared" si="154"/>
        <v>-</v>
      </c>
      <c r="J496" s="8"/>
    </row>
    <row r="497" spans="1:10">
      <c r="A497" s="35"/>
      <c r="B497" s="36"/>
      <c r="C497" s="9" t="s">
        <v>7</v>
      </c>
      <c r="D497" s="10">
        <f>IF(D496="-","-",D496/MAX($C491:$C495))</f>
        <v>116.2</v>
      </c>
      <c r="E497" s="10">
        <f>IF(E496="-","-",E496/MAX($C491:$C495))</f>
        <v>148</v>
      </c>
      <c r="F497" s="10" t="str">
        <f>IF(F496="-","-",F496/ (MAX($C491:$C495)-2))</f>
        <v>-</v>
      </c>
      <c r="G497" s="10" t="str">
        <f>IF(G496="-","-",G496/MAX($C491:$C495))</f>
        <v>-</v>
      </c>
      <c r="H497" s="10">
        <f>IF(H496="-","-",H496/MAX($C491:$C495))</f>
        <v>119.8</v>
      </c>
      <c r="I497" s="10" t="str">
        <f>IF(I496="-","-",I496/MAX($C491:$C495))</f>
        <v>-</v>
      </c>
      <c r="J497" s="10"/>
    </row>
    <row r="498" spans="1:10">
      <c r="A498" s="34" t="s">
        <v>61</v>
      </c>
      <c r="B498" s="36">
        <v>45095</v>
      </c>
      <c r="C498" s="1">
        <v>1</v>
      </c>
      <c r="D498" s="1">
        <v>98</v>
      </c>
      <c r="E498" s="1">
        <v>121</v>
      </c>
      <c r="F498" s="1" t="s">
        <v>8</v>
      </c>
      <c r="G498" s="1" t="s">
        <v>8</v>
      </c>
      <c r="H498" s="1">
        <v>79</v>
      </c>
      <c r="I498" s="1" t="s">
        <v>8</v>
      </c>
      <c r="J498" s="1"/>
    </row>
    <row r="499" spans="1:10">
      <c r="A499" s="35"/>
      <c r="B499" s="36"/>
      <c r="C499" s="1">
        <v>2</v>
      </c>
      <c r="D499" s="1">
        <v>145</v>
      </c>
      <c r="E499" s="1">
        <v>184</v>
      </c>
      <c r="F499" s="1" t="s">
        <v>8</v>
      </c>
      <c r="G499" s="1" t="s">
        <v>8</v>
      </c>
      <c r="H499" s="1">
        <v>83</v>
      </c>
      <c r="I499" s="1" t="s">
        <v>8</v>
      </c>
      <c r="J499" s="1"/>
    </row>
    <row r="500" spans="1:10">
      <c r="A500" s="35"/>
      <c r="B500" s="36"/>
      <c r="C500" s="1">
        <v>3</v>
      </c>
      <c r="D500" s="1">
        <v>134</v>
      </c>
      <c r="E500" s="1">
        <v>169</v>
      </c>
      <c r="F500" s="1" t="s">
        <v>8</v>
      </c>
      <c r="G500" s="1" t="s">
        <v>8</v>
      </c>
      <c r="H500" s="1">
        <v>94</v>
      </c>
      <c r="I500" s="1" t="s">
        <v>8</v>
      </c>
      <c r="J500" s="1"/>
    </row>
    <row r="501" spans="1:10">
      <c r="A501" s="35"/>
      <c r="B501" s="36"/>
      <c r="C501" s="1">
        <v>4</v>
      </c>
      <c r="D501" s="1">
        <v>135</v>
      </c>
      <c r="E501" s="1">
        <v>124</v>
      </c>
      <c r="F501" s="1" t="s">
        <v>8</v>
      </c>
      <c r="G501" s="1" t="s">
        <v>8</v>
      </c>
      <c r="H501" s="1">
        <v>100</v>
      </c>
      <c r="I501" s="1" t="s">
        <v>8</v>
      </c>
      <c r="J501" s="1"/>
    </row>
    <row r="502" spans="1:10">
      <c r="A502" s="35"/>
      <c r="B502" s="36"/>
      <c r="C502" s="1">
        <v>5</v>
      </c>
      <c r="D502" s="1">
        <v>120</v>
      </c>
      <c r="E502" s="1">
        <v>120</v>
      </c>
      <c r="F502" s="1" t="s">
        <v>8</v>
      </c>
      <c r="G502" s="1" t="s">
        <v>8</v>
      </c>
      <c r="H502" s="1">
        <v>100</v>
      </c>
      <c r="I502" s="1" t="s">
        <v>8</v>
      </c>
      <c r="J502" s="1"/>
    </row>
    <row r="503" spans="1:10">
      <c r="A503" s="35"/>
      <c r="B503" s="36"/>
      <c r="C503" s="7" t="s">
        <v>6</v>
      </c>
      <c r="D503" s="8">
        <f t="shared" ref="D503:I503" si="155">IF(SUM(D498:D502)=0,"-",SUM(D498:D502))</f>
        <v>632</v>
      </c>
      <c r="E503" s="8">
        <f t="shared" si="155"/>
        <v>718</v>
      </c>
      <c r="F503" s="8" t="str">
        <f t="shared" si="155"/>
        <v>-</v>
      </c>
      <c r="G503" s="8" t="str">
        <f t="shared" si="155"/>
        <v>-</v>
      </c>
      <c r="H503" s="8">
        <f t="shared" si="155"/>
        <v>456</v>
      </c>
      <c r="I503" s="8" t="str">
        <f t="shared" si="155"/>
        <v>-</v>
      </c>
      <c r="J503" s="8"/>
    </row>
    <row r="504" spans="1:10">
      <c r="A504" s="35"/>
      <c r="B504" s="36"/>
      <c r="C504" s="9" t="s">
        <v>7</v>
      </c>
      <c r="D504" s="10">
        <f>IF(D503="-","-",D503/MAX($C498:$C502))</f>
        <v>126.4</v>
      </c>
      <c r="E504" s="10">
        <f>IF(E503="-","-",E503/MAX($C498:$C502))</f>
        <v>143.6</v>
      </c>
      <c r="F504" s="10" t="str">
        <f>IF(F503="-","-",F503/ (MAX($C498:$C502)-2))</f>
        <v>-</v>
      </c>
      <c r="G504" s="10" t="str">
        <f>IF(G503="-","-",G503/MAX($C498:$C502))</f>
        <v>-</v>
      </c>
      <c r="H504" s="10">
        <f>IF(H503="-","-",H503/MAX($C498:$C502))</f>
        <v>91.2</v>
      </c>
      <c r="I504" s="10" t="str">
        <f>IF(I503="-","-",I503/MAX($C498:$C502))</f>
        <v>-</v>
      </c>
      <c r="J504" s="10"/>
    </row>
    <row r="505" spans="1:10">
      <c r="A505" s="34" t="s">
        <v>62</v>
      </c>
      <c r="B505" s="36">
        <v>45130</v>
      </c>
      <c r="C505" s="1">
        <v>1</v>
      </c>
      <c r="D505" s="1">
        <v>131</v>
      </c>
      <c r="E505" s="1">
        <v>103</v>
      </c>
      <c r="F505" s="1" t="s">
        <v>8</v>
      </c>
      <c r="G505" s="1" t="s">
        <v>8</v>
      </c>
      <c r="H505" s="1">
        <v>118</v>
      </c>
      <c r="I505" s="1" t="s">
        <v>8</v>
      </c>
      <c r="J505" s="1"/>
    </row>
    <row r="506" spans="1:10">
      <c r="A506" s="35"/>
      <c r="B506" s="36"/>
      <c r="C506" s="1">
        <v>2</v>
      </c>
      <c r="D506" s="1">
        <v>118</v>
      </c>
      <c r="E506" s="1">
        <v>120</v>
      </c>
      <c r="F506" s="1" t="s">
        <v>8</v>
      </c>
      <c r="G506" s="1" t="s">
        <v>8</v>
      </c>
      <c r="H506" s="1">
        <v>91</v>
      </c>
      <c r="I506" s="1" t="s">
        <v>8</v>
      </c>
      <c r="J506" s="1"/>
    </row>
    <row r="507" spans="1:10">
      <c r="A507" s="35"/>
      <c r="B507" s="36"/>
      <c r="C507" s="1">
        <v>3</v>
      </c>
      <c r="D507" s="1">
        <v>104</v>
      </c>
      <c r="E507" s="1">
        <v>140</v>
      </c>
      <c r="F507" s="1" t="s">
        <v>8</v>
      </c>
      <c r="G507" s="1" t="s">
        <v>8</v>
      </c>
      <c r="H507" s="1">
        <v>95</v>
      </c>
      <c r="I507" s="1" t="s">
        <v>8</v>
      </c>
      <c r="J507" s="1"/>
    </row>
    <row r="508" spans="1:10">
      <c r="A508" s="35"/>
      <c r="B508" s="36"/>
      <c r="C508" s="1">
        <v>4</v>
      </c>
      <c r="D508" s="1">
        <v>150</v>
      </c>
      <c r="E508" s="1">
        <v>140</v>
      </c>
      <c r="F508" s="1" t="s">
        <v>8</v>
      </c>
      <c r="G508" s="1" t="s">
        <v>8</v>
      </c>
      <c r="H508" s="1">
        <v>119</v>
      </c>
      <c r="I508" s="1" t="s">
        <v>8</v>
      </c>
      <c r="J508" s="1"/>
    </row>
    <row r="509" spans="1:10">
      <c r="A509" s="35"/>
      <c r="B509" s="36"/>
      <c r="C509" s="1">
        <v>5</v>
      </c>
      <c r="D509" s="1">
        <v>118</v>
      </c>
      <c r="E509" s="1">
        <v>124</v>
      </c>
      <c r="F509" s="1" t="s">
        <v>8</v>
      </c>
      <c r="G509" s="1" t="s">
        <v>8</v>
      </c>
      <c r="H509" s="1">
        <v>110</v>
      </c>
      <c r="I509" s="1" t="s">
        <v>8</v>
      </c>
      <c r="J509" s="1"/>
    </row>
    <row r="510" spans="1:10">
      <c r="A510" s="35"/>
      <c r="B510" s="36"/>
      <c r="C510" s="7" t="s">
        <v>6</v>
      </c>
      <c r="D510" s="8">
        <f t="shared" ref="D510:I510" si="156">IF(SUM(D505:D509)=0,"-",SUM(D505:D509))</f>
        <v>621</v>
      </c>
      <c r="E510" s="8">
        <f t="shared" si="156"/>
        <v>627</v>
      </c>
      <c r="F510" s="8" t="str">
        <f t="shared" si="156"/>
        <v>-</v>
      </c>
      <c r="G510" s="8" t="str">
        <f t="shared" si="156"/>
        <v>-</v>
      </c>
      <c r="H510" s="8">
        <f t="shared" si="156"/>
        <v>533</v>
      </c>
      <c r="I510" s="8" t="str">
        <f t="shared" si="156"/>
        <v>-</v>
      </c>
      <c r="J510" s="8"/>
    </row>
    <row r="511" spans="1:10">
      <c r="A511" s="35"/>
      <c r="B511" s="36"/>
      <c r="C511" s="9" t="s">
        <v>7</v>
      </c>
      <c r="D511" s="10">
        <f>IF(D510="-","-",D510/MAX($C505:$C509))</f>
        <v>124.2</v>
      </c>
      <c r="E511" s="10">
        <f>IF(E510="-","-",E510/MAX($C505:$C509))</f>
        <v>125.4</v>
      </c>
      <c r="F511" s="10" t="str">
        <f>IF(F510="-","-",F510/ (MAX($C505:$C509)-2))</f>
        <v>-</v>
      </c>
      <c r="G511" s="10" t="str">
        <f>IF(G510="-","-",G510/MAX($C505:$C509))</f>
        <v>-</v>
      </c>
      <c r="H511" s="10">
        <f>IF(H510="-","-",H510/MAX($C505:$C509))</f>
        <v>106.6</v>
      </c>
      <c r="I511" s="10" t="str">
        <f>IF(I510="-","-",I510/MAX($C505:$C509))</f>
        <v>-</v>
      </c>
      <c r="J511" s="10"/>
    </row>
    <row r="512" spans="1:10">
      <c r="A512" s="34" t="s">
        <v>63</v>
      </c>
      <c r="B512" s="36">
        <v>45165</v>
      </c>
      <c r="C512" s="1">
        <v>1</v>
      </c>
      <c r="D512" s="1">
        <v>161</v>
      </c>
      <c r="E512" s="1">
        <v>150</v>
      </c>
      <c r="F512" s="1" t="s">
        <v>8</v>
      </c>
      <c r="G512" s="1" t="s">
        <v>8</v>
      </c>
      <c r="H512" s="1">
        <v>104</v>
      </c>
      <c r="I512" s="1" t="s">
        <v>8</v>
      </c>
      <c r="J512" s="1"/>
    </row>
    <row r="513" spans="1:10">
      <c r="A513" s="35"/>
      <c r="B513" s="36"/>
      <c r="C513" s="1">
        <v>2</v>
      </c>
      <c r="D513" s="1">
        <v>136</v>
      </c>
      <c r="E513" s="1">
        <v>182</v>
      </c>
      <c r="F513" s="1" t="s">
        <v>8</v>
      </c>
      <c r="G513" s="1" t="s">
        <v>8</v>
      </c>
      <c r="H513" s="1">
        <v>98</v>
      </c>
      <c r="I513" s="1" t="s">
        <v>8</v>
      </c>
      <c r="J513" s="1"/>
    </row>
    <row r="514" spans="1:10">
      <c r="A514" s="35"/>
      <c r="B514" s="36"/>
      <c r="C514" s="1">
        <v>3</v>
      </c>
      <c r="D514" s="1">
        <v>132</v>
      </c>
      <c r="E514" s="1">
        <v>137</v>
      </c>
      <c r="F514" s="1" t="s">
        <v>8</v>
      </c>
      <c r="G514" s="1" t="s">
        <v>8</v>
      </c>
      <c r="H514" s="1">
        <v>107</v>
      </c>
      <c r="I514" s="1" t="s">
        <v>8</v>
      </c>
      <c r="J514" s="1"/>
    </row>
    <row r="515" spans="1:10">
      <c r="A515" s="35"/>
      <c r="B515" s="36"/>
      <c r="C515" s="1">
        <v>4</v>
      </c>
      <c r="D515" s="1">
        <v>148</v>
      </c>
      <c r="E515" s="1">
        <v>162</v>
      </c>
      <c r="F515" s="1" t="s">
        <v>8</v>
      </c>
      <c r="G515" s="1" t="s">
        <v>8</v>
      </c>
      <c r="H515" s="1">
        <v>97</v>
      </c>
      <c r="I515" s="1" t="s">
        <v>8</v>
      </c>
      <c r="J515" s="1"/>
    </row>
    <row r="516" spans="1:10">
      <c r="A516" s="35"/>
      <c r="B516" s="36"/>
      <c r="C516" s="1">
        <v>5</v>
      </c>
      <c r="D516" s="1">
        <v>94</v>
      </c>
      <c r="E516" s="1">
        <v>158</v>
      </c>
      <c r="F516" s="1" t="s">
        <v>8</v>
      </c>
      <c r="G516" s="1" t="s">
        <v>8</v>
      </c>
      <c r="H516" s="1">
        <v>125</v>
      </c>
      <c r="I516" s="1" t="s">
        <v>8</v>
      </c>
      <c r="J516" s="1"/>
    </row>
    <row r="517" spans="1:10">
      <c r="A517" s="35"/>
      <c r="B517" s="36"/>
      <c r="C517" s="7" t="s">
        <v>6</v>
      </c>
      <c r="D517" s="8">
        <f t="shared" ref="D517:I517" si="157">IF(SUM(D512:D516)=0,"-",SUM(D512:D516))</f>
        <v>671</v>
      </c>
      <c r="E517" s="8">
        <f t="shared" si="157"/>
        <v>789</v>
      </c>
      <c r="F517" s="8" t="str">
        <f t="shared" si="157"/>
        <v>-</v>
      </c>
      <c r="G517" s="8" t="str">
        <f t="shared" si="157"/>
        <v>-</v>
      </c>
      <c r="H517" s="8">
        <f t="shared" si="157"/>
        <v>531</v>
      </c>
      <c r="I517" s="8" t="str">
        <f t="shared" si="157"/>
        <v>-</v>
      </c>
      <c r="J517" s="8"/>
    </row>
    <row r="518" spans="1:10">
      <c r="A518" s="35"/>
      <c r="B518" s="36"/>
      <c r="C518" s="9" t="s">
        <v>7</v>
      </c>
      <c r="D518" s="10">
        <f>IF(D517="-","-",D517/MAX($C512:$C516))</f>
        <v>134.19999999999999</v>
      </c>
      <c r="E518" s="10">
        <f>IF(E517="-","-",E517/MAX($C512:$C516))</f>
        <v>157.80000000000001</v>
      </c>
      <c r="F518" s="10" t="str">
        <f>IF(F517="-","-",F517/ (MAX($C512:$C516)-2))</f>
        <v>-</v>
      </c>
      <c r="G518" s="10" t="str">
        <f>IF(G517="-","-",G517/MAX($C512:$C516))</f>
        <v>-</v>
      </c>
      <c r="H518" s="10">
        <f>IF(H517="-","-",H517/MAX($C512:$C516))</f>
        <v>106.2</v>
      </c>
      <c r="I518" s="10" t="str">
        <f>IF(I517="-","-",I517/MAX($C512:$C516))</f>
        <v>-</v>
      </c>
      <c r="J518" s="10"/>
    </row>
    <row r="519" spans="1:10">
      <c r="A519" s="38" t="s">
        <v>64</v>
      </c>
      <c r="B519" s="36">
        <v>45192</v>
      </c>
      <c r="C519" s="1">
        <v>1</v>
      </c>
      <c r="D519" s="1">
        <v>95</v>
      </c>
      <c r="E519" s="1">
        <v>133</v>
      </c>
      <c r="F519" s="1" t="s">
        <v>8</v>
      </c>
      <c r="G519" s="1" t="s">
        <v>8</v>
      </c>
      <c r="H519" s="1">
        <v>102</v>
      </c>
      <c r="I519" s="1" t="s">
        <v>8</v>
      </c>
      <c r="J519" s="1"/>
    </row>
    <row r="520" spans="1:10">
      <c r="A520" s="39"/>
      <c r="B520" s="36"/>
      <c r="C520" s="1">
        <v>2</v>
      </c>
      <c r="D520" s="1">
        <v>161</v>
      </c>
      <c r="E520" s="1">
        <v>148</v>
      </c>
      <c r="F520" s="1" t="s">
        <v>8</v>
      </c>
      <c r="G520" s="1" t="s">
        <v>8</v>
      </c>
      <c r="H520" s="1">
        <v>100</v>
      </c>
      <c r="I520" s="1" t="s">
        <v>8</v>
      </c>
      <c r="J520" s="1"/>
    </row>
    <row r="521" spans="1:10">
      <c r="A521" s="39"/>
      <c r="B521" s="36"/>
      <c r="C521" s="1">
        <v>3</v>
      </c>
      <c r="D521" s="1">
        <v>121</v>
      </c>
      <c r="E521" s="1">
        <v>137</v>
      </c>
      <c r="F521" s="1" t="s">
        <v>8</v>
      </c>
      <c r="G521" s="1" t="s">
        <v>8</v>
      </c>
      <c r="H521" s="1">
        <v>111</v>
      </c>
      <c r="I521" s="1" t="s">
        <v>8</v>
      </c>
      <c r="J521" s="1"/>
    </row>
    <row r="522" spans="1:10">
      <c r="A522" s="39"/>
      <c r="B522" s="36"/>
      <c r="C522" s="1">
        <v>4</v>
      </c>
      <c r="D522" s="1">
        <v>136</v>
      </c>
      <c r="E522" s="1">
        <v>142</v>
      </c>
      <c r="F522" s="1" t="s">
        <v>8</v>
      </c>
      <c r="G522" s="1" t="s">
        <v>8</v>
      </c>
      <c r="H522" s="1">
        <v>122</v>
      </c>
      <c r="I522" s="1" t="s">
        <v>8</v>
      </c>
      <c r="J522" s="1"/>
    </row>
    <row r="523" spans="1:10">
      <c r="A523" s="39"/>
      <c r="B523" s="36"/>
      <c r="C523" s="1">
        <v>5</v>
      </c>
      <c r="D523" s="1">
        <v>104</v>
      </c>
      <c r="E523" s="1">
        <v>128</v>
      </c>
      <c r="F523" s="1" t="s">
        <v>8</v>
      </c>
      <c r="G523" s="1" t="s">
        <v>8</v>
      </c>
      <c r="H523" s="1">
        <v>114</v>
      </c>
      <c r="I523" s="1" t="s">
        <v>8</v>
      </c>
      <c r="J523" s="1"/>
    </row>
    <row r="524" spans="1:10">
      <c r="A524" s="39"/>
      <c r="B524" s="36"/>
      <c r="C524" s="7" t="s">
        <v>6</v>
      </c>
      <c r="D524" s="8">
        <f t="shared" ref="D524:I524" si="158">IF(SUM(D519:D523)=0,"-",SUM(D519:D523))</f>
        <v>617</v>
      </c>
      <c r="E524" s="8">
        <f t="shared" si="158"/>
        <v>688</v>
      </c>
      <c r="F524" s="8" t="str">
        <f t="shared" si="158"/>
        <v>-</v>
      </c>
      <c r="G524" s="8" t="str">
        <f t="shared" si="158"/>
        <v>-</v>
      </c>
      <c r="H524" s="8">
        <f t="shared" si="158"/>
        <v>549</v>
      </c>
      <c r="I524" s="8" t="str">
        <f t="shared" si="158"/>
        <v>-</v>
      </c>
      <c r="J524" s="8"/>
    </row>
    <row r="525" spans="1:10">
      <c r="A525" s="39"/>
      <c r="B525" s="36"/>
      <c r="C525" s="9" t="s">
        <v>7</v>
      </c>
      <c r="D525" s="10">
        <f>IF(D524="-","-",D524/MAX($C519:$C523))</f>
        <v>123.4</v>
      </c>
      <c r="E525" s="10">
        <f>IF(E524="-","-",E524/MAX($C519:$C523))</f>
        <v>137.6</v>
      </c>
      <c r="F525" s="10" t="str">
        <f>IF(F524="-","-",F524/ (MAX($C519:$C523)-2))</f>
        <v>-</v>
      </c>
      <c r="G525" s="10" t="str">
        <f>IF(G524="-","-",G524/MAX($C519:$C523))</f>
        <v>-</v>
      </c>
      <c r="H525" s="10">
        <f>IF(H524="-","-",H524/MAX($C519:$C523))</f>
        <v>109.8</v>
      </c>
      <c r="I525" s="10" t="str">
        <f>IF(I524="-","-",I524/MAX($C519:$C523))</f>
        <v>-</v>
      </c>
      <c r="J525" s="10"/>
    </row>
    <row r="526" spans="1:10">
      <c r="A526" s="34" t="s">
        <v>65</v>
      </c>
      <c r="B526" s="36">
        <v>45200</v>
      </c>
      <c r="C526" s="1">
        <v>1</v>
      </c>
      <c r="D526" s="1">
        <v>99</v>
      </c>
      <c r="E526" s="1">
        <v>140</v>
      </c>
      <c r="F526" s="1" t="s">
        <v>8</v>
      </c>
      <c r="G526" s="1" t="s">
        <v>8</v>
      </c>
      <c r="H526" s="1">
        <v>104</v>
      </c>
      <c r="I526" s="1" t="s">
        <v>8</v>
      </c>
      <c r="J526" s="1"/>
    </row>
    <row r="527" spans="1:10">
      <c r="A527" s="35"/>
      <c r="B527" s="36"/>
      <c r="C527" s="1">
        <v>2</v>
      </c>
      <c r="D527" s="1">
        <v>81</v>
      </c>
      <c r="E527" s="1">
        <v>117</v>
      </c>
      <c r="F527" s="1" t="s">
        <v>8</v>
      </c>
      <c r="G527" s="1" t="s">
        <v>8</v>
      </c>
      <c r="H527" s="1">
        <v>118</v>
      </c>
      <c r="I527" s="1" t="s">
        <v>8</v>
      </c>
      <c r="J527" s="1"/>
    </row>
    <row r="528" spans="1:10">
      <c r="A528" s="35"/>
      <c r="B528" s="36"/>
      <c r="C528" s="1">
        <v>3</v>
      </c>
      <c r="D528" s="1">
        <v>135</v>
      </c>
      <c r="E528" s="1">
        <v>159</v>
      </c>
      <c r="F528" s="1" t="s">
        <v>8</v>
      </c>
      <c r="G528" s="1" t="s">
        <v>8</v>
      </c>
      <c r="H528" s="1">
        <v>123</v>
      </c>
      <c r="I528" s="1" t="s">
        <v>8</v>
      </c>
      <c r="J528" s="1"/>
    </row>
    <row r="529" spans="1:10">
      <c r="A529" s="35"/>
      <c r="B529" s="36"/>
      <c r="C529" s="1">
        <v>4</v>
      </c>
      <c r="D529" s="1">
        <v>126</v>
      </c>
      <c r="E529" s="1">
        <v>142</v>
      </c>
      <c r="F529" s="1" t="s">
        <v>8</v>
      </c>
      <c r="G529" s="1" t="s">
        <v>8</v>
      </c>
      <c r="H529" s="1">
        <v>94</v>
      </c>
      <c r="I529" s="1" t="s">
        <v>8</v>
      </c>
      <c r="J529" s="1"/>
    </row>
    <row r="530" spans="1:10">
      <c r="A530" s="35"/>
      <c r="B530" s="36"/>
      <c r="C530" s="1">
        <v>5</v>
      </c>
      <c r="D530" s="1">
        <v>88</v>
      </c>
      <c r="E530" s="1">
        <v>109</v>
      </c>
      <c r="F530" s="1" t="s">
        <v>8</v>
      </c>
      <c r="G530" s="1" t="s">
        <v>8</v>
      </c>
      <c r="H530" s="1">
        <v>129</v>
      </c>
      <c r="I530" s="1" t="s">
        <v>8</v>
      </c>
      <c r="J530" s="1"/>
    </row>
    <row r="531" spans="1:10">
      <c r="A531" s="35"/>
      <c r="B531" s="36"/>
      <c r="C531" s="7" t="s">
        <v>6</v>
      </c>
      <c r="D531" s="8">
        <f t="shared" ref="D531:I531" si="159">IF(SUM(D526:D530)=0,"-",SUM(D526:D530))</f>
        <v>529</v>
      </c>
      <c r="E531" s="8">
        <f t="shared" si="159"/>
        <v>667</v>
      </c>
      <c r="F531" s="8" t="str">
        <f t="shared" si="159"/>
        <v>-</v>
      </c>
      <c r="G531" s="8" t="str">
        <f t="shared" si="159"/>
        <v>-</v>
      </c>
      <c r="H531" s="8">
        <f t="shared" si="159"/>
        <v>568</v>
      </c>
      <c r="I531" s="8" t="str">
        <f t="shared" si="159"/>
        <v>-</v>
      </c>
      <c r="J531" s="8"/>
    </row>
    <row r="532" spans="1:10">
      <c r="A532" s="35"/>
      <c r="B532" s="36"/>
      <c r="C532" s="9" t="s">
        <v>7</v>
      </c>
      <c r="D532" s="10">
        <f>IF(D531="-","-",D531/MAX($C526:$C530))</f>
        <v>105.8</v>
      </c>
      <c r="E532" s="10">
        <f>IF(E531="-","-",E531/MAX($C526:$C530))</f>
        <v>133.4</v>
      </c>
      <c r="F532" s="10" t="str">
        <f>IF(F531="-","-",F531/ (MAX($C526:$C530)-2))</f>
        <v>-</v>
      </c>
      <c r="G532" s="10" t="str">
        <f>IF(G531="-","-",G531/MAX($C526:$C530))</f>
        <v>-</v>
      </c>
      <c r="H532" s="10">
        <f>IF(H531="-","-",H531/MAX($C526:$C530))</f>
        <v>113.6</v>
      </c>
      <c r="I532" s="10" t="str">
        <f>IF(I531="-","-",I531/MAX($C526:$C530))</f>
        <v>-</v>
      </c>
      <c r="J532" s="10"/>
    </row>
    <row r="533" spans="1:10">
      <c r="A533" s="34" t="s">
        <v>66</v>
      </c>
      <c r="B533" s="36">
        <v>45235</v>
      </c>
      <c r="C533" s="1">
        <v>1</v>
      </c>
      <c r="D533" s="1">
        <v>116</v>
      </c>
      <c r="E533" s="1">
        <v>155</v>
      </c>
      <c r="F533" s="1" t="s">
        <v>8</v>
      </c>
      <c r="G533" s="1" t="s">
        <v>8</v>
      </c>
      <c r="H533" s="1">
        <v>112</v>
      </c>
      <c r="I533" s="1" t="s">
        <v>8</v>
      </c>
      <c r="J533" s="1"/>
    </row>
    <row r="534" spans="1:10">
      <c r="A534" s="35"/>
      <c r="B534" s="36"/>
      <c r="C534" s="1">
        <v>2</v>
      </c>
      <c r="D534" s="1">
        <v>111</v>
      </c>
      <c r="E534" s="1">
        <v>136</v>
      </c>
      <c r="F534" s="1" t="s">
        <v>8</v>
      </c>
      <c r="G534" s="1" t="s">
        <v>8</v>
      </c>
      <c r="H534" s="1">
        <v>112</v>
      </c>
      <c r="I534" s="1" t="s">
        <v>8</v>
      </c>
      <c r="J534" s="1"/>
    </row>
    <row r="535" spans="1:10">
      <c r="A535" s="35"/>
      <c r="B535" s="36"/>
      <c r="C535" s="1">
        <v>3</v>
      </c>
      <c r="D535" s="1">
        <v>79</v>
      </c>
      <c r="E535" s="1">
        <v>125</v>
      </c>
      <c r="F535" s="1" t="s">
        <v>8</v>
      </c>
      <c r="G535" s="1" t="s">
        <v>8</v>
      </c>
      <c r="H535" s="1">
        <v>117</v>
      </c>
      <c r="I535" s="1" t="s">
        <v>8</v>
      </c>
      <c r="J535" s="1"/>
    </row>
    <row r="536" spans="1:10">
      <c r="A536" s="35"/>
      <c r="B536" s="36"/>
      <c r="C536" s="1">
        <v>4</v>
      </c>
      <c r="D536" s="1">
        <v>109</v>
      </c>
      <c r="E536" s="1">
        <v>153</v>
      </c>
      <c r="F536" s="1" t="s">
        <v>8</v>
      </c>
      <c r="G536" s="1" t="s">
        <v>8</v>
      </c>
      <c r="H536" s="1">
        <v>95</v>
      </c>
      <c r="I536" s="1" t="s">
        <v>8</v>
      </c>
      <c r="J536" s="1"/>
    </row>
    <row r="537" spans="1:10">
      <c r="A537" s="35"/>
      <c r="B537" s="36"/>
      <c r="C537" s="1">
        <v>5</v>
      </c>
      <c r="D537" s="1">
        <v>81</v>
      </c>
      <c r="E537" s="1">
        <v>143</v>
      </c>
      <c r="F537" s="1" t="s">
        <v>8</v>
      </c>
      <c r="G537" s="1" t="s">
        <v>8</v>
      </c>
      <c r="H537" s="1">
        <v>132</v>
      </c>
      <c r="I537" s="1" t="s">
        <v>8</v>
      </c>
      <c r="J537" s="1"/>
    </row>
    <row r="538" spans="1:10">
      <c r="A538" s="35"/>
      <c r="B538" s="36"/>
      <c r="C538" s="7" t="s">
        <v>6</v>
      </c>
      <c r="D538" s="8">
        <f t="shared" ref="D538:I538" si="160">IF(SUM(D533:D537)=0,"-",SUM(D533:D537))</f>
        <v>496</v>
      </c>
      <c r="E538" s="8">
        <f t="shared" si="160"/>
        <v>712</v>
      </c>
      <c r="F538" s="8" t="str">
        <f t="shared" si="160"/>
        <v>-</v>
      </c>
      <c r="G538" s="8" t="str">
        <f t="shared" si="160"/>
        <v>-</v>
      </c>
      <c r="H538" s="8">
        <f t="shared" si="160"/>
        <v>568</v>
      </c>
      <c r="I538" s="8" t="str">
        <f t="shared" si="160"/>
        <v>-</v>
      </c>
      <c r="J538" s="8"/>
    </row>
    <row r="539" spans="1:10">
      <c r="A539" s="35"/>
      <c r="B539" s="36"/>
      <c r="C539" s="9" t="s">
        <v>7</v>
      </c>
      <c r="D539" s="10">
        <f>IF(D538="-","-",D538/MAX($C533:$C537))</f>
        <v>99.2</v>
      </c>
      <c r="E539" s="10">
        <f>IF(E538="-","-",E538/MAX($C533:$C537))</f>
        <v>142.4</v>
      </c>
      <c r="F539" s="10" t="str">
        <f>IF(F538="-","-",F538/ (MAX($C533:$C537)-2))</f>
        <v>-</v>
      </c>
      <c r="G539" s="10" t="str">
        <f>IF(G538="-","-",G538/MAX($C533:$C537))</f>
        <v>-</v>
      </c>
      <c r="H539" s="10">
        <f>IF(H538="-","-",H538/MAX($C533:$C537))</f>
        <v>113.6</v>
      </c>
      <c r="I539" s="10" t="str">
        <f>IF(I538="-","-",I538/MAX($C533:$C537))</f>
        <v>-</v>
      </c>
      <c r="J539" s="10"/>
    </row>
    <row r="540" spans="1:10">
      <c r="A540" s="34" t="s">
        <v>67</v>
      </c>
      <c r="B540" s="36">
        <v>45270</v>
      </c>
      <c r="C540" s="1">
        <v>1</v>
      </c>
      <c r="D540" s="1">
        <v>60</v>
      </c>
      <c r="E540" s="1">
        <v>169</v>
      </c>
      <c r="F540" s="1" t="s">
        <v>8</v>
      </c>
      <c r="G540" s="1" t="s">
        <v>8</v>
      </c>
      <c r="H540" s="1">
        <v>86</v>
      </c>
      <c r="I540" s="1" t="s">
        <v>8</v>
      </c>
      <c r="J540" s="1"/>
    </row>
    <row r="541" spans="1:10">
      <c r="A541" s="35"/>
      <c r="B541" s="36"/>
      <c r="C541" s="1">
        <v>2</v>
      </c>
      <c r="D541" s="1">
        <v>132</v>
      </c>
      <c r="E541" s="1">
        <v>124</v>
      </c>
      <c r="F541" s="1" t="s">
        <v>8</v>
      </c>
      <c r="G541" s="1" t="s">
        <v>8</v>
      </c>
      <c r="H541" s="1">
        <v>128</v>
      </c>
      <c r="I541" s="1" t="s">
        <v>8</v>
      </c>
      <c r="J541" s="1"/>
    </row>
    <row r="542" spans="1:10">
      <c r="A542" s="35"/>
      <c r="B542" s="36"/>
      <c r="C542" s="1">
        <v>3</v>
      </c>
      <c r="D542" s="1">
        <v>100</v>
      </c>
      <c r="E542" s="1">
        <v>115</v>
      </c>
      <c r="F542" s="1" t="s">
        <v>8</v>
      </c>
      <c r="G542" s="1" t="s">
        <v>8</v>
      </c>
      <c r="H542" s="1">
        <v>110</v>
      </c>
      <c r="I542" s="1" t="s">
        <v>8</v>
      </c>
      <c r="J542" s="1"/>
    </row>
    <row r="543" spans="1:10">
      <c r="A543" s="35"/>
      <c r="B543" s="36"/>
      <c r="C543" s="1">
        <v>4</v>
      </c>
      <c r="D543" s="1">
        <v>104</v>
      </c>
      <c r="E543" s="1">
        <v>160</v>
      </c>
      <c r="F543" s="1" t="s">
        <v>8</v>
      </c>
      <c r="G543" s="1" t="s">
        <v>8</v>
      </c>
      <c r="H543" s="1">
        <v>107</v>
      </c>
      <c r="I543" s="1" t="s">
        <v>8</v>
      </c>
      <c r="J543" s="1"/>
    </row>
    <row r="544" spans="1:10">
      <c r="A544" s="35"/>
      <c r="B544" s="36"/>
      <c r="C544" s="1">
        <v>5</v>
      </c>
      <c r="D544" s="1">
        <v>99</v>
      </c>
      <c r="E544" s="1">
        <v>158</v>
      </c>
      <c r="F544" s="1" t="s">
        <v>8</v>
      </c>
      <c r="G544" s="1" t="s">
        <v>8</v>
      </c>
      <c r="H544" s="1">
        <v>110</v>
      </c>
      <c r="I544" s="1" t="s">
        <v>8</v>
      </c>
      <c r="J544" s="1"/>
    </row>
    <row r="545" spans="1:10">
      <c r="A545" s="35"/>
      <c r="B545" s="36"/>
      <c r="C545" s="7" t="s">
        <v>6</v>
      </c>
      <c r="D545" s="8">
        <f t="shared" ref="D545:I545" si="161">IF(SUM(D540:D544)=0,"-",SUM(D540:D544))</f>
        <v>495</v>
      </c>
      <c r="E545" s="8">
        <f t="shared" si="161"/>
        <v>726</v>
      </c>
      <c r="F545" s="8" t="str">
        <f t="shared" si="161"/>
        <v>-</v>
      </c>
      <c r="G545" s="8" t="str">
        <f t="shared" si="161"/>
        <v>-</v>
      </c>
      <c r="H545" s="8">
        <f t="shared" si="161"/>
        <v>541</v>
      </c>
      <c r="I545" s="8" t="str">
        <f t="shared" si="161"/>
        <v>-</v>
      </c>
      <c r="J545" s="8"/>
    </row>
    <row r="546" spans="1:10">
      <c r="A546" s="35"/>
      <c r="B546" s="36"/>
      <c r="C546" s="9" t="s">
        <v>7</v>
      </c>
      <c r="D546" s="10">
        <f>IF(D545="-","-",D545/MAX($C540:$C544))</f>
        <v>99</v>
      </c>
      <c r="E546" s="10">
        <f>IF(E545="-","-",E545/MAX($C540:$C544))</f>
        <v>145.19999999999999</v>
      </c>
      <c r="F546" s="10" t="str">
        <f>IF(F545="-","-",F545/ (MAX($C540:$C544)-2))</f>
        <v>-</v>
      </c>
      <c r="G546" s="10" t="str">
        <f>IF(G545="-","-",G545/MAX($C540:$C544))</f>
        <v>-</v>
      </c>
      <c r="H546" s="10">
        <f>IF(H545="-","-",H545/MAX($C540:$C544))</f>
        <v>108.2</v>
      </c>
      <c r="I546" s="10" t="str">
        <f>IF(I545="-","-",I545/MAX($C540:$C544))</f>
        <v>-</v>
      </c>
      <c r="J546" s="10"/>
    </row>
    <row r="547" spans="1:10">
      <c r="A547" s="34" t="s">
        <v>68</v>
      </c>
      <c r="B547" s="36">
        <v>45319</v>
      </c>
      <c r="C547" s="1">
        <v>1</v>
      </c>
      <c r="D547" s="1">
        <v>88</v>
      </c>
      <c r="E547" s="1">
        <v>125</v>
      </c>
      <c r="F547" s="1" t="s">
        <v>8</v>
      </c>
      <c r="G547" s="1" t="s">
        <v>8</v>
      </c>
      <c r="H547" s="1">
        <v>117</v>
      </c>
      <c r="I547" s="1" t="s">
        <v>8</v>
      </c>
      <c r="J547" s="1"/>
    </row>
    <row r="548" spans="1:10">
      <c r="A548" s="35"/>
      <c r="B548" s="36"/>
      <c r="C548" s="1">
        <v>2</v>
      </c>
      <c r="D548" s="1">
        <v>132</v>
      </c>
      <c r="E548" s="1">
        <v>152</v>
      </c>
      <c r="F548" s="1" t="s">
        <v>8</v>
      </c>
      <c r="G548" s="1" t="s">
        <v>8</v>
      </c>
      <c r="H548" s="1">
        <v>126</v>
      </c>
      <c r="I548" s="1" t="s">
        <v>8</v>
      </c>
      <c r="J548" s="1"/>
    </row>
    <row r="549" spans="1:10">
      <c r="A549" s="35"/>
      <c r="B549" s="36"/>
      <c r="C549" s="1">
        <v>3</v>
      </c>
      <c r="D549" s="1">
        <v>191</v>
      </c>
      <c r="E549" s="1">
        <v>116</v>
      </c>
      <c r="F549" s="1" t="s">
        <v>8</v>
      </c>
      <c r="G549" s="1" t="s">
        <v>8</v>
      </c>
      <c r="H549" s="1">
        <v>94</v>
      </c>
      <c r="I549" s="1" t="s">
        <v>8</v>
      </c>
      <c r="J549" s="1"/>
    </row>
    <row r="550" spans="1:10">
      <c r="A550" s="35"/>
      <c r="B550" s="36"/>
      <c r="C550" s="1">
        <v>4</v>
      </c>
      <c r="D550" s="1">
        <v>103</v>
      </c>
      <c r="E550" s="1">
        <v>136</v>
      </c>
      <c r="F550" s="1" t="s">
        <v>8</v>
      </c>
      <c r="G550" s="1" t="s">
        <v>8</v>
      </c>
      <c r="H550" s="1">
        <v>124</v>
      </c>
      <c r="I550" s="1" t="s">
        <v>8</v>
      </c>
      <c r="J550" s="1"/>
    </row>
    <row r="551" spans="1:10">
      <c r="A551" s="35"/>
      <c r="B551" s="36"/>
      <c r="C551" s="1">
        <v>5</v>
      </c>
      <c r="D551" s="1">
        <v>120</v>
      </c>
      <c r="E551" s="1">
        <v>146</v>
      </c>
      <c r="F551" s="1" t="s">
        <v>8</v>
      </c>
      <c r="G551" s="1" t="s">
        <v>8</v>
      </c>
      <c r="H551" s="1">
        <v>107</v>
      </c>
      <c r="I551" s="1" t="s">
        <v>8</v>
      </c>
      <c r="J551" s="1"/>
    </row>
    <row r="552" spans="1:10">
      <c r="A552" s="35"/>
      <c r="B552" s="36"/>
      <c r="C552" s="7" t="s">
        <v>6</v>
      </c>
      <c r="D552" s="8">
        <f t="shared" ref="D552:I552" si="162">IF(SUM(D547:D551)=0,"-",SUM(D547:D551))</f>
        <v>634</v>
      </c>
      <c r="E552" s="8">
        <f t="shared" si="162"/>
        <v>675</v>
      </c>
      <c r="F552" s="8" t="str">
        <f t="shared" si="162"/>
        <v>-</v>
      </c>
      <c r="G552" s="8" t="str">
        <f t="shared" si="162"/>
        <v>-</v>
      </c>
      <c r="H552" s="8">
        <f t="shared" si="162"/>
        <v>568</v>
      </c>
      <c r="I552" s="8" t="str">
        <f t="shared" si="162"/>
        <v>-</v>
      </c>
      <c r="J552" s="8"/>
    </row>
    <row r="553" spans="1:10">
      <c r="A553" s="35"/>
      <c r="B553" s="36"/>
      <c r="C553" s="9" t="s">
        <v>7</v>
      </c>
      <c r="D553" s="10">
        <f>IF(D552="-","-",D552/MAX($C547:$C551))</f>
        <v>126.8</v>
      </c>
      <c r="E553" s="10">
        <f>IF(E552="-","-",E552/MAX($C547:$C551))</f>
        <v>135</v>
      </c>
      <c r="F553" s="10" t="str">
        <f>IF(F552="-","-",F552/ (MAX($C547:$C551)-2))</f>
        <v>-</v>
      </c>
      <c r="G553" s="10" t="str">
        <f>IF(G552="-","-",G552/MAX($C547:$C551))</f>
        <v>-</v>
      </c>
      <c r="H553" s="10">
        <f>IF(H552="-","-",H552/MAX($C547:$C551))</f>
        <v>113.6</v>
      </c>
      <c r="I553" s="10" t="str">
        <f>IF(I552="-","-",I552/MAX($C547:$C551))</f>
        <v>-</v>
      </c>
      <c r="J553" s="10"/>
    </row>
    <row r="554" spans="1:10">
      <c r="A554" s="34" t="s">
        <v>69</v>
      </c>
      <c r="B554" s="36">
        <v>45334</v>
      </c>
      <c r="C554" s="1">
        <v>1</v>
      </c>
      <c r="D554" s="1">
        <v>90</v>
      </c>
      <c r="E554" s="1">
        <v>162</v>
      </c>
      <c r="F554" s="1" t="s">
        <v>8</v>
      </c>
      <c r="G554" s="1" t="s">
        <v>8</v>
      </c>
      <c r="H554" s="1">
        <v>88</v>
      </c>
      <c r="I554" s="1" t="s">
        <v>8</v>
      </c>
      <c r="J554" s="1"/>
    </row>
    <row r="555" spans="1:10">
      <c r="A555" s="35"/>
      <c r="B555" s="36"/>
      <c r="C555" s="1">
        <v>2</v>
      </c>
      <c r="D555" s="1">
        <v>110</v>
      </c>
      <c r="E555" s="1">
        <v>128</v>
      </c>
      <c r="F555" s="1" t="s">
        <v>8</v>
      </c>
      <c r="G555" s="1" t="s">
        <v>8</v>
      </c>
      <c r="H555" s="1">
        <v>72</v>
      </c>
      <c r="I555" s="1" t="s">
        <v>8</v>
      </c>
      <c r="J555" s="1"/>
    </row>
    <row r="556" spans="1:10">
      <c r="A556" s="35"/>
      <c r="B556" s="36"/>
      <c r="C556" s="1">
        <v>3</v>
      </c>
      <c r="D556" s="1">
        <v>143</v>
      </c>
      <c r="E556" s="1">
        <v>188</v>
      </c>
      <c r="F556" s="1" t="s">
        <v>8</v>
      </c>
      <c r="G556" s="1" t="s">
        <v>8</v>
      </c>
      <c r="H556" s="1">
        <v>80</v>
      </c>
      <c r="I556" s="1" t="s">
        <v>8</v>
      </c>
      <c r="J556" s="1"/>
    </row>
    <row r="557" spans="1:10">
      <c r="A557" s="35"/>
      <c r="B557" s="36"/>
      <c r="C557" s="1">
        <v>4</v>
      </c>
      <c r="D557" s="1">
        <v>152</v>
      </c>
      <c r="E557" s="1">
        <v>147</v>
      </c>
      <c r="F557" s="1" t="s">
        <v>8</v>
      </c>
      <c r="G557" s="1" t="s">
        <v>8</v>
      </c>
      <c r="H557" s="1">
        <v>91</v>
      </c>
      <c r="I557" s="1" t="s">
        <v>8</v>
      </c>
      <c r="J557" s="1"/>
    </row>
    <row r="558" spans="1:10">
      <c r="A558" s="35"/>
      <c r="B558" s="36"/>
      <c r="C558" s="1">
        <v>5</v>
      </c>
      <c r="D558" s="1">
        <v>154</v>
      </c>
      <c r="E558" s="1">
        <v>167</v>
      </c>
      <c r="F558" s="1" t="s">
        <v>8</v>
      </c>
      <c r="G558" s="1" t="s">
        <v>8</v>
      </c>
      <c r="H558" s="1">
        <v>87</v>
      </c>
      <c r="I558" s="1" t="s">
        <v>8</v>
      </c>
      <c r="J558" s="1"/>
    </row>
    <row r="559" spans="1:10">
      <c r="A559" s="35"/>
      <c r="B559" s="36"/>
      <c r="C559" s="7" t="s">
        <v>6</v>
      </c>
      <c r="D559" s="8">
        <f t="shared" ref="D559:I559" si="163">IF(SUM(D554:D558)=0,"-",SUM(D554:D558))</f>
        <v>649</v>
      </c>
      <c r="E559" s="8">
        <f t="shared" si="163"/>
        <v>792</v>
      </c>
      <c r="F559" s="8" t="str">
        <f t="shared" si="163"/>
        <v>-</v>
      </c>
      <c r="G559" s="8" t="str">
        <f t="shared" si="163"/>
        <v>-</v>
      </c>
      <c r="H559" s="8">
        <f t="shared" si="163"/>
        <v>418</v>
      </c>
      <c r="I559" s="8" t="str">
        <f t="shared" si="163"/>
        <v>-</v>
      </c>
      <c r="J559" s="8"/>
    </row>
    <row r="560" spans="1:10">
      <c r="A560" s="35"/>
      <c r="B560" s="36"/>
      <c r="C560" s="9" t="s">
        <v>7</v>
      </c>
      <c r="D560" s="10">
        <f>IF(D559="-","-",D559/MAX($C554:$C558))</f>
        <v>129.80000000000001</v>
      </c>
      <c r="E560" s="10">
        <f>IF(E559="-","-",E559/MAX($C554:$C558))</f>
        <v>158.4</v>
      </c>
      <c r="F560" s="10" t="str">
        <f>IF(F559="-","-",F559/ (MAX($C554:$C558)-2))</f>
        <v>-</v>
      </c>
      <c r="G560" s="10" t="str">
        <f>IF(G559="-","-",G559/MAX($C554:$C558))</f>
        <v>-</v>
      </c>
      <c r="H560" s="10">
        <f>IF(H559="-","-",H559/MAX($C554:$C558))</f>
        <v>83.6</v>
      </c>
      <c r="I560" s="10" t="str">
        <f>IF(I559="-","-",I559/MAX($C554:$C558))</f>
        <v>-</v>
      </c>
      <c r="J560" s="10"/>
    </row>
    <row r="561" spans="1:10">
      <c r="A561" s="34" t="s">
        <v>71</v>
      </c>
      <c r="B561" s="36">
        <v>45368</v>
      </c>
      <c r="C561" s="1">
        <v>1</v>
      </c>
      <c r="D561" s="1">
        <v>100</v>
      </c>
      <c r="E561" s="1">
        <v>129</v>
      </c>
      <c r="F561" s="1" t="s">
        <v>8</v>
      </c>
      <c r="G561" s="1" t="s">
        <v>8</v>
      </c>
      <c r="H561" s="1">
        <v>128</v>
      </c>
      <c r="I561" s="1">
        <v>104</v>
      </c>
      <c r="J561" s="1"/>
    </row>
    <row r="562" spans="1:10">
      <c r="A562" s="35"/>
      <c r="B562" s="36"/>
      <c r="C562" s="1">
        <v>2</v>
      </c>
      <c r="D562" s="1">
        <v>91</v>
      </c>
      <c r="E562" s="1">
        <v>115</v>
      </c>
      <c r="F562" s="1" t="s">
        <v>8</v>
      </c>
      <c r="G562" s="1" t="s">
        <v>8</v>
      </c>
      <c r="H562" s="1">
        <v>104</v>
      </c>
      <c r="I562" s="1">
        <v>127</v>
      </c>
      <c r="J562" s="1"/>
    </row>
    <row r="563" spans="1:10">
      <c r="A563" s="35"/>
      <c r="B563" s="36"/>
      <c r="C563" s="1">
        <v>3</v>
      </c>
      <c r="D563" s="1">
        <v>115</v>
      </c>
      <c r="E563" s="1">
        <v>145</v>
      </c>
      <c r="F563" s="1" t="s">
        <v>8</v>
      </c>
      <c r="G563" s="1" t="s">
        <v>8</v>
      </c>
      <c r="H563" s="1">
        <v>95</v>
      </c>
      <c r="I563" s="1">
        <v>118</v>
      </c>
      <c r="J563" s="1"/>
    </row>
    <row r="564" spans="1:10">
      <c r="A564" s="35"/>
      <c r="B564" s="36"/>
      <c r="C564" s="1">
        <v>4</v>
      </c>
      <c r="D564" s="1">
        <v>126</v>
      </c>
      <c r="E564" s="1">
        <v>132</v>
      </c>
      <c r="F564" s="1" t="s">
        <v>8</v>
      </c>
      <c r="G564" s="1" t="s">
        <v>8</v>
      </c>
      <c r="H564" s="1">
        <v>120</v>
      </c>
      <c r="I564" s="1">
        <v>90</v>
      </c>
      <c r="J564" s="1"/>
    </row>
    <row r="565" spans="1:10">
      <c r="A565" s="35"/>
      <c r="B565" s="36"/>
      <c r="C565" s="1">
        <v>5</v>
      </c>
      <c r="D565" s="1">
        <v>103</v>
      </c>
      <c r="E565" s="1">
        <v>141</v>
      </c>
      <c r="F565" s="1" t="s">
        <v>8</v>
      </c>
      <c r="G565" s="1" t="s">
        <v>8</v>
      </c>
      <c r="H565" s="1">
        <v>92</v>
      </c>
      <c r="I565" s="1">
        <v>121</v>
      </c>
      <c r="J565" s="1"/>
    </row>
    <row r="566" spans="1:10">
      <c r="A566" s="35"/>
      <c r="B566" s="36"/>
      <c r="C566" s="7" t="s">
        <v>6</v>
      </c>
      <c r="D566" s="8">
        <f t="shared" ref="D566:I566" si="164">IF(SUM(D561:D565)=0,"-",SUM(D561:D565))</f>
        <v>535</v>
      </c>
      <c r="E566" s="8">
        <f t="shared" si="164"/>
        <v>662</v>
      </c>
      <c r="F566" s="8" t="str">
        <f t="shared" si="164"/>
        <v>-</v>
      </c>
      <c r="G566" s="8" t="str">
        <f t="shared" si="164"/>
        <v>-</v>
      </c>
      <c r="H566" s="8">
        <f t="shared" si="164"/>
        <v>539</v>
      </c>
      <c r="I566" s="8">
        <f t="shared" si="164"/>
        <v>560</v>
      </c>
      <c r="J566" s="8"/>
    </row>
    <row r="567" spans="1:10">
      <c r="A567" s="35"/>
      <c r="B567" s="36"/>
      <c r="C567" s="9" t="s">
        <v>7</v>
      </c>
      <c r="D567" s="10">
        <f>IF(D566="-","-",D566/MAX($C561:$C565))</f>
        <v>107</v>
      </c>
      <c r="E567" s="10">
        <f>IF(E566="-","-",E566/MAX($C561:$C565))</f>
        <v>132.4</v>
      </c>
      <c r="F567" s="10" t="str">
        <f>IF(F566="-","-",F566/ (MAX($C561:$C565)-2))</f>
        <v>-</v>
      </c>
      <c r="G567" s="10" t="str">
        <f>IF(G566="-","-",G566/MAX($C561:$C565))</f>
        <v>-</v>
      </c>
      <c r="H567" s="10">
        <f>IF(H566="-","-",H566/MAX($C561:$C565))</f>
        <v>107.8</v>
      </c>
      <c r="I567" s="10">
        <f>IF(I566="-","-",I566/MAX($C561:$C565))</f>
        <v>112</v>
      </c>
      <c r="J567" s="10"/>
    </row>
    <row r="568" spans="1:10">
      <c r="A568" s="51" t="s">
        <v>72</v>
      </c>
      <c r="B568" s="36">
        <v>45409</v>
      </c>
      <c r="C568" s="1">
        <v>1</v>
      </c>
      <c r="D568" s="1">
        <v>123</v>
      </c>
      <c r="E568" s="1">
        <v>146</v>
      </c>
      <c r="F568" s="1" t="s">
        <v>8</v>
      </c>
      <c r="G568" s="1" t="s">
        <v>8</v>
      </c>
      <c r="H568" s="1">
        <v>75</v>
      </c>
      <c r="I568" s="1">
        <v>109</v>
      </c>
      <c r="J568" s="1"/>
    </row>
    <row r="569" spans="1:10">
      <c r="A569" s="52"/>
      <c r="B569" s="36"/>
      <c r="C569" s="1">
        <v>2</v>
      </c>
      <c r="D569" s="1">
        <v>86</v>
      </c>
      <c r="E569" s="1">
        <v>154</v>
      </c>
      <c r="F569" s="1" t="s">
        <v>8</v>
      </c>
      <c r="G569" s="1" t="s">
        <v>8</v>
      </c>
      <c r="H569" s="1">
        <v>60</v>
      </c>
      <c r="I569" s="1">
        <v>73</v>
      </c>
      <c r="J569" s="1"/>
    </row>
    <row r="570" spans="1:10">
      <c r="A570" s="52"/>
      <c r="B570" s="36"/>
      <c r="C570" s="1">
        <v>3</v>
      </c>
      <c r="D570" s="1">
        <v>70</v>
      </c>
      <c r="E570" s="1">
        <v>112</v>
      </c>
      <c r="F570" s="1" t="s">
        <v>8</v>
      </c>
      <c r="G570" s="1" t="s">
        <v>8</v>
      </c>
      <c r="H570" s="1">
        <v>28</v>
      </c>
      <c r="I570" s="1">
        <v>63</v>
      </c>
      <c r="J570" s="1"/>
    </row>
    <row r="571" spans="1:10">
      <c r="A571" s="52"/>
      <c r="B571" s="36"/>
      <c r="C571" s="1">
        <v>4</v>
      </c>
      <c r="D571" s="1">
        <v>108</v>
      </c>
      <c r="E571" s="1">
        <v>148</v>
      </c>
      <c r="F571" s="1" t="s">
        <v>8</v>
      </c>
      <c r="G571" s="1" t="s">
        <v>8</v>
      </c>
      <c r="H571" s="1">
        <v>65</v>
      </c>
      <c r="I571" s="1">
        <v>78</v>
      </c>
      <c r="J571" s="1"/>
    </row>
    <row r="572" spans="1:10">
      <c r="A572" s="52"/>
      <c r="B572" s="36"/>
      <c r="C572" s="1">
        <v>5</v>
      </c>
      <c r="D572" s="1">
        <v>137</v>
      </c>
      <c r="E572" s="1">
        <v>125</v>
      </c>
      <c r="F572" s="1" t="s">
        <v>8</v>
      </c>
      <c r="G572" s="1" t="s">
        <v>8</v>
      </c>
      <c r="H572" s="1">
        <v>42</v>
      </c>
      <c r="I572" s="1">
        <v>89</v>
      </c>
      <c r="J572" s="1"/>
    </row>
    <row r="573" spans="1:10">
      <c r="A573" s="52"/>
      <c r="B573" s="36"/>
      <c r="C573" s="7" t="s">
        <v>6</v>
      </c>
      <c r="D573" s="8">
        <f t="shared" ref="D573" si="165">IF(SUM(D568:D572)=0,"-",SUM(D568:D572))</f>
        <v>524</v>
      </c>
      <c r="E573" s="8">
        <f t="shared" ref="E573" si="166">IF(SUM(E568:E572)=0,"-",SUM(E568:E572))</f>
        <v>685</v>
      </c>
      <c r="F573" s="8" t="str">
        <f t="shared" ref="F573" si="167">IF(SUM(F568:F572)=0,"-",SUM(F568:F572))</f>
        <v>-</v>
      </c>
      <c r="G573" s="8" t="str">
        <f t="shared" ref="G573" si="168">IF(SUM(G568:G572)=0,"-",SUM(G568:G572))</f>
        <v>-</v>
      </c>
      <c r="H573" s="8">
        <f t="shared" ref="H573" si="169">IF(SUM(H568:H572)=0,"-",SUM(H568:H572))</f>
        <v>270</v>
      </c>
      <c r="I573" s="8">
        <f t="shared" ref="I573" si="170">IF(SUM(I568:I572)=0,"-",SUM(I568:I572))</f>
        <v>412</v>
      </c>
      <c r="J573" s="8"/>
    </row>
    <row r="574" spans="1:10">
      <c r="A574" s="52"/>
      <c r="B574" s="36"/>
      <c r="C574" s="9" t="s">
        <v>7</v>
      </c>
      <c r="D574" s="10">
        <f>IF(D573="-","-",D573/MAX($C568:$C572))</f>
        <v>104.8</v>
      </c>
      <c r="E574" s="10">
        <f>IF(E573="-","-",E573/MAX($C568:$C572))</f>
        <v>137</v>
      </c>
      <c r="F574" s="10" t="str">
        <f>IF(F573="-","-",F573/ (MAX($C568:$C572)-2))</f>
        <v>-</v>
      </c>
      <c r="G574" s="10" t="str">
        <f>IF(G573="-","-",G573/MAX($C568:$C572))</f>
        <v>-</v>
      </c>
      <c r="H574" s="10">
        <f>IF(H573="-","-",H573/MAX($C568:$C572))</f>
        <v>54</v>
      </c>
      <c r="I574" s="10">
        <f>IF(I573="-","-",I573/MAX($C568:$C572))</f>
        <v>82.4</v>
      </c>
      <c r="J574" s="10"/>
    </row>
    <row r="575" spans="1:10">
      <c r="A575" s="34" t="s">
        <v>73</v>
      </c>
      <c r="B575" s="36">
        <v>45429</v>
      </c>
      <c r="C575" s="1">
        <v>1</v>
      </c>
      <c r="D575" s="1">
        <v>135</v>
      </c>
      <c r="E575" s="1">
        <v>114</v>
      </c>
      <c r="F575" s="1" t="s">
        <v>8</v>
      </c>
      <c r="G575" s="1" t="s">
        <v>8</v>
      </c>
      <c r="H575" s="1">
        <v>29</v>
      </c>
      <c r="I575" s="1" t="s">
        <v>8</v>
      </c>
      <c r="J575" s="1"/>
    </row>
    <row r="576" spans="1:10">
      <c r="A576" s="35"/>
      <c r="B576" s="36"/>
      <c r="C576" s="1">
        <v>2</v>
      </c>
      <c r="D576" s="1">
        <v>116</v>
      </c>
      <c r="E576" s="1">
        <v>119</v>
      </c>
      <c r="F576" s="1" t="s">
        <v>8</v>
      </c>
      <c r="G576" s="1" t="s">
        <v>8</v>
      </c>
      <c r="H576" s="1">
        <v>73</v>
      </c>
      <c r="I576" s="1" t="s">
        <v>8</v>
      </c>
      <c r="J576" s="1"/>
    </row>
    <row r="577" spans="1:10">
      <c r="A577" s="35"/>
      <c r="B577" s="36"/>
      <c r="C577" s="1">
        <v>3</v>
      </c>
      <c r="D577" s="1">
        <v>103</v>
      </c>
      <c r="E577" s="1">
        <v>133</v>
      </c>
      <c r="F577" s="1" t="s">
        <v>8</v>
      </c>
      <c r="G577" s="1" t="s">
        <v>8</v>
      </c>
      <c r="H577" s="1">
        <v>78</v>
      </c>
      <c r="I577" s="1" t="s">
        <v>8</v>
      </c>
      <c r="J577" s="1"/>
    </row>
    <row r="578" spans="1:10">
      <c r="A578" s="35"/>
      <c r="B578" s="36"/>
      <c r="C578" s="1">
        <v>4</v>
      </c>
      <c r="D578" s="1">
        <v>127</v>
      </c>
      <c r="E578" s="1">
        <v>149</v>
      </c>
      <c r="F578" s="1" t="s">
        <v>8</v>
      </c>
      <c r="G578" s="1" t="s">
        <v>8</v>
      </c>
      <c r="H578" s="1">
        <v>91</v>
      </c>
      <c r="I578" s="1" t="s">
        <v>8</v>
      </c>
      <c r="J578" s="1"/>
    </row>
    <row r="579" spans="1:10">
      <c r="A579" s="35"/>
      <c r="B579" s="36"/>
      <c r="C579" s="1">
        <v>5</v>
      </c>
      <c r="D579" s="1">
        <v>107</v>
      </c>
      <c r="E579" s="1">
        <v>183</v>
      </c>
      <c r="F579" s="1" t="s">
        <v>8</v>
      </c>
      <c r="G579" s="1" t="s">
        <v>8</v>
      </c>
      <c r="H579" s="1">
        <v>89</v>
      </c>
      <c r="I579" s="1" t="s">
        <v>8</v>
      </c>
      <c r="J579" s="1"/>
    </row>
    <row r="580" spans="1:10">
      <c r="A580" s="35"/>
      <c r="B580" s="36"/>
      <c r="C580" s="7" t="s">
        <v>6</v>
      </c>
      <c r="D580" s="8">
        <f t="shared" ref="D580" si="171">IF(SUM(D575:D579)=0,"-",SUM(D575:D579))</f>
        <v>588</v>
      </c>
      <c r="E580" s="8">
        <f t="shared" ref="E580" si="172">IF(SUM(E575:E579)=0,"-",SUM(E575:E579))</f>
        <v>698</v>
      </c>
      <c r="F580" s="8" t="str">
        <f t="shared" ref="F580" si="173">IF(SUM(F575:F579)=0,"-",SUM(F575:F579))</f>
        <v>-</v>
      </c>
      <c r="G580" s="8" t="str">
        <f t="shared" ref="G580" si="174">IF(SUM(G575:G579)=0,"-",SUM(G575:G579))</f>
        <v>-</v>
      </c>
      <c r="H580" s="8">
        <f t="shared" ref="H580" si="175">IF(SUM(H575:H579)=0,"-",SUM(H575:H579))</f>
        <v>360</v>
      </c>
      <c r="I580" s="8" t="str">
        <f t="shared" ref="I580" si="176">IF(SUM(I575:I579)=0,"-",SUM(I575:I579))</f>
        <v>-</v>
      </c>
      <c r="J580" s="8"/>
    </row>
    <row r="581" spans="1:10">
      <c r="A581" s="35"/>
      <c r="B581" s="36"/>
      <c r="C581" s="9" t="s">
        <v>7</v>
      </c>
      <c r="D581" s="10">
        <f>IF(D580="-","-",D580/MAX($C575:$C579))</f>
        <v>117.6</v>
      </c>
      <c r="E581" s="10">
        <f>IF(E580="-","-",E580/MAX($C575:$C579))</f>
        <v>139.6</v>
      </c>
      <c r="F581" s="10" t="str">
        <f>IF(F580="-","-",F580/ (MAX($C575:$C579)-2))</f>
        <v>-</v>
      </c>
      <c r="G581" s="10" t="str">
        <f>IF(G580="-","-",G580/MAX($C575:$C579))</f>
        <v>-</v>
      </c>
      <c r="H581" s="10">
        <f>IF(H580="-","-",H580/MAX($C575:$C579))</f>
        <v>72</v>
      </c>
      <c r="I581" s="10" t="str">
        <f>IF(I580="-","-",I580/MAX($C575:$C579))</f>
        <v>-</v>
      </c>
      <c r="J581" s="10"/>
    </row>
    <row r="582" spans="1:10">
      <c r="A582" s="38" t="s">
        <v>74</v>
      </c>
      <c r="B582" s="36">
        <v>45445</v>
      </c>
      <c r="C582" s="1">
        <v>1</v>
      </c>
      <c r="D582" s="1">
        <v>119</v>
      </c>
      <c r="E582" s="1">
        <v>81</v>
      </c>
      <c r="F582" s="1" t="s">
        <v>8</v>
      </c>
      <c r="G582" s="1" t="s">
        <v>8</v>
      </c>
      <c r="H582" s="1">
        <v>40</v>
      </c>
      <c r="I582" s="1">
        <v>57</v>
      </c>
      <c r="J582" s="1"/>
    </row>
    <row r="583" spans="1:10">
      <c r="A583" s="39"/>
      <c r="B583" s="36"/>
      <c r="C583" s="1">
        <v>2</v>
      </c>
      <c r="D583" s="1">
        <v>97</v>
      </c>
      <c r="E583" s="1">
        <v>148</v>
      </c>
      <c r="F583" s="1" t="s">
        <v>8</v>
      </c>
      <c r="G583" s="1" t="s">
        <v>8</v>
      </c>
      <c r="H583" s="1">
        <v>93</v>
      </c>
      <c r="I583" s="1">
        <v>72</v>
      </c>
      <c r="J583" s="1"/>
    </row>
    <row r="584" spans="1:10">
      <c r="A584" s="39"/>
      <c r="B584" s="36"/>
      <c r="C584" s="1">
        <v>3</v>
      </c>
      <c r="D584" s="1">
        <v>134</v>
      </c>
      <c r="E584" s="1">
        <v>123</v>
      </c>
      <c r="F584" s="1" t="s">
        <v>8</v>
      </c>
      <c r="G584" s="1" t="s">
        <v>8</v>
      </c>
      <c r="H584" s="1">
        <v>40</v>
      </c>
      <c r="I584" s="1">
        <v>55</v>
      </c>
      <c r="J584" s="1"/>
    </row>
    <row r="585" spans="1:10">
      <c r="A585" s="39"/>
      <c r="B585" s="36"/>
      <c r="C585" s="1">
        <v>4</v>
      </c>
      <c r="D585" s="1">
        <v>121</v>
      </c>
      <c r="E585" s="1">
        <v>127</v>
      </c>
      <c r="F585" s="1" t="s">
        <v>8</v>
      </c>
      <c r="G585" s="1" t="s">
        <v>8</v>
      </c>
      <c r="H585" s="1">
        <v>65</v>
      </c>
      <c r="I585" s="1">
        <v>110</v>
      </c>
      <c r="J585" s="1"/>
    </row>
    <row r="586" spans="1:10">
      <c r="A586" s="39"/>
      <c r="B586" s="36"/>
      <c r="C586" s="1">
        <v>5</v>
      </c>
      <c r="D586" s="1">
        <v>131</v>
      </c>
      <c r="E586" s="1">
        <v>152</v>
      </c>
      <c r="F586" s="1" t="s">
        <v>8</v>
      </c>
      <c r="G586" s="1" t="s">
        <v>8</v>
      </c>
      <c r="H586" s="1">
        <v>97</v>
      </c>
      <c r="I586" s="1">
        <v>117</v>
      </c>
      <c r="J586" s="1"/>
    </row>
    <row r="587" spans="1:10">
      <c r="A587" s="39"/>
      <c r="B587" s="36"/>
      <c r="C587" s="7" t="s">
        <v>6</v>
      </c>
      <c r="D587" s="8">
        <f t="shared" ref="D587" si="177">IF(SUM(D582:D586)=0,"-",SUM(D582:D586))</f>
        <v>602</v>
      </c>
      <c r="E587" s="8">
        <f t="shared" ref="E587:I587" si="178">IF(SUM(E582:E586)=0,"-",SUM(E582:E586))</f>
        <v>631</v>
      </c>
      <c r="F587" s="8" t="str">
        <f t="shared" si="178"/>
        <v>-</v>
      </c>
      <c r="G587" s="8" t="str">
        <f t="shared" si="178"/>
        <v>-</v>
      </c>
      <c r="H587" s="8">
        <f t="shared" si="178"/>
        <v>335</v>
      </c>
      <c r="I587" s="8">
        <f t="shared" si="178"/>
        <v>411</v>
      </c>
      <c r="J587" s="8"/>
    </row>
    <row r="588" spans="1:10">
      <c r="A588" s="39"/>
      <c r="B588" s="36"/>
      <c r="C588" s="9" t="s">
        <v>7</v>
      </c>
      <c r="D588" s="10">
        <f>IF(D587="-","-",D587/MAX($C582:$C586))</f>
        <v>120.4</v>
      </c>
      <c r="E588" s="10">
        <f>IF(E587="-","-",E587/MAX($C582:$C586))</f>
        <v>126.2</v>
      </c>
      <c r="F588" s="10" t="str">
        <f>IF(F587="-","-",F587/ (MAX($C582:$C586)-2))</f>
        <v>-</v>
      </c>
      <c r="G588" s="10" t="str">
        <f>IF(G587="-","-",G587/MAX($C582:$C586))</f>
        <v>-</v>
      </c>
      <c r="H588" s="10">
        <f>IF(H587="-","-",H587/MAX($C582:$C586))</f>
        <v>67</v>
      </c>
      <c r="I588" s="10">
        <f>IF(I587="-","-",I587/MAX($C582:$C586))</f>
        <v>82.2</v>
      </c>
      <c r="J588" s="10"/>
    </row>
    <row r="589" spans="1:10">
      <c r="A589" s="34" t="s">
        <v>75</v>
      </c>
      <c r="B589" s="36">
        <v>45458</v>
      </c>
      <c r="C589" s="1">
        <v>1</v>
      </c>
      <c r="D589" s="1">
        <v>113</v>
      </c>
      <c r="E589" s="1">
        <v>90</v>
      </c>
      <c r="F589" s="1" t="s">
        <v>8</v>
      </c>
      <c r="G589" s="1" t="s">
        <v>8</v>
      </c>
      <c r="H589" s="1">
        <v>38</v>
      </c>
      <c r="I589" s="1">
        <v>109</v>
      </c>
      <c r="J589" s="1"/>
    </row>
    <row r="590" spans="1:10">
      <c r="A590" s="35"/>
      <c r="B590" s="36"/>
      <c r="C590" s="1">
        <v>2</v>
      </c>
      <c r="D590" s="1">
        <v>125</v>
      </c>
      <c r="E590" s="1">
        <v>94</v>
      </c>
      <c r="F590" s="1" t="s">
        <v>8</v>
      </c>
      <c r="G590" s="1" t="s">
        <v>8</v>
      </c>
      <c r="H590" s="1">
        <v>75</v>
      </c>
      <c r="I590" s="1">
        <v>131</v>
      </c>
      <c r="J590" s="1"/>
    </row>
    <row r="591" spans="1:10">
      <c r="A591" s="35"/>
      <c r="B591" s="36"/>
      <c r="C591" s="1">
        <v>3</v>
      </c>
      <c r="D591" s="1">
        <v>87</v>
      </c>
      <c r="E591" s="1">
        <v>127</v>
      </c>
      <c r="F591" s="1" t="s">
        <v>8</v>
      </c>
      <c r="G591" s="1" t="s">
        <v>8</v>
      </c>
      <c r="H591" s="1">
        <v>42</v>
      </c>
      <c r="I591" s="1">
        <v>128</v>
      </c>
      <c r="J591" s="1"/>
    </row>
    <row r="592" spans="1:10">
      <c r="A592" s="35"/>
      <c r="B592" s="36"/>
      <c r="C592" s="1">
        <v>4</v>
      </c>
      <c r="D592" s="1">
        <v>83</v>
      </c>
      <c r="E592" s="1">
        <v>99</v>
      </c>
      <c r="F592" s="1" t="s">
        <v>8</v>
      </c>
      <c r="G592" s="1" t="s">
        <v>8</v>
      </c>
      <c r="H592" s="1">
        <v>84</v>
      </c>
      <c r="I592" s="1">
        <v>144</v>
      </c>
      <c r="J592" s="1"/>
    </row>
    <row r="593" spans="1:10">
      <c r="A593" s="35"/>
      <c r="B593" s="36"/>
      <c r="C593" s="1">
        <v>5</v>
      </c>
      <c r="D593" s="1">
        <v>92</v>
      </c>
      <c r="E593" s="1">
        <v>109</v>
      </c>
      <c r="F593" s="1" t="s">
        <v>8</v>
      </c>
      <c r="G593" s="1" t="s">
        <v>8</v>
      </c>
      <c r="H593" s="1">
        <v>68</v>
      </c>
      <c r="I593" s="1">
        <v>125</v>
      </c>
      <c r="J593" s="1"/>
    </row>
    <row r="594" spans="1:10">
      <c r="A594" s="35"/>
      <c r="B594" s="36"/>
      <c r="C594" s="7" t="s">
        <v>6</v>
      </c>
      <c r="D594" s="8">
        <f t="shared" ref="D594" si="179">IF(SUM(D589:D593)=0,"-",SUM(D589:D593))</f>
        <v>500</v>
      </c>
      <c r="E594" s="8">
        <f t="shared" ref="E594:I594" si="180">IF(SUM(E589:E593)=0,"-",SUM(E589:E593))</f>
        <v>519</v>
      </c>
      <c r="F594" s="8" t="str">
        <f t="shared" si="180"/>
        <v>-</v>
      </c>
      <c r="G594" s="8" t="str">
        <f t="shared" si="180"/>
        <v>-</v>
      </c>
      <c r="H594" s="8">
        <f t="shared" si="180"/>
        <v>307</v>
      </c>
      <c r="I594" s="8">
        <f t="shared" si="180"/>
        <v>637</v>
      </c>
      <c r="J594" s="8"/>
    </row>
    <row r="595" spans="1:10">
      <c r="A595" s="35"/>
      <c r="B595" s="36"/>
      <c r="C595" s="9" t="s">
        <v>7</v>
      </c>
      <c r="D595" s="10">
        <f>IF(D594="-","-",D594/MAX($C589:$C593))</f>
        <v>100</v>
      </c>
      <c r="E595" s="10">
        <f>IF(E594="-","-",E594/MAX($C589:$C593))</f>
        <v>103.8</v>
      </c>
      <c r="F595" s="10" t="str">
        <f>IF(F594="-","-",F594/ (MAX($C589:$C593)-2))</f>
        <v>-</v>
      </c>
      <c r="G595" s="10" t="str">
        <f>IF(G594="-","-",G594/MAX($C589:$C593))</f>
        <v>-</v>
      </c>
      <c r="H595" s="10">
        <f>IF(H594="-","-",H594/MAX($C589:$C593))</f>
        <v>61.4</v>
      </c>
      <c r="I595" s="10">
        <f>IF(I594="-","-",I594/MAX($C589:$C593))</f>
        <v>127.4</v>
      </c>
      <c r="J595" s="10"/>
    </row>
    <row r="596" spans="1:10">
      <c r="A596" s="34" t="s">
        <v>76</v>
      </c>
      <c r="B596" s="36">
        <v>45480</v>
      </c>
      <c r="C596" s="1">
        <v>1</v>
      </c>
      <c r="D596" s="1" t="s">
        <v>8</v>
      </c>
      <c r="E596" s="1">
        <v>125</v>
      </c>
      <c r="F596" s="1" t="s">
        <v>8</v>
      </c>
      <c r="G596" s="1" t="s">
        <v>8</v>
      </c>
      <c r="H596" s="1" t="s">
        <v>8</v>
      </c>
      <c r="I596" s="1" t="s">
        <v>8</v>
      </c>
      <c r="J596" s="1"/>
    </row>
    <row r="597" spans="1:10">
      <c r="A597" s="35"/>
      <c r="B597" s="36"/>
      <c r="C597" s="1">
        <v>2</v>
      </c>
      <c r="D597" s="1" t="s">
        <v>8</v>
      </c>
      <c r="E597" s="1">
        <v>122</v>
      </c>
      <c r="F597" s="1" t="s">
        <v>8</v>
      </c>
      <c r="G597" s="1" t="s">
        <v>8</v>
      </c>
      <c r="H597" s="1" t="s">
        <v>8</v>
      </c>
      <c r="I597" s="1" t="s">
        <v>8</v>
      </c>
      <c r="J597" s="1"/>
    </row>
    <row r="598" spans="1:10">
      <c r="A598" s="35"/>
      <c r="B598" s="36"/>
      <c r="C598" s="1">
        <v>3</v>
      </c>
      <c r="D598" s="1" t="s">
        <v>8</v>
      </c>
      <c r="E598" s="1">
        <v>144</v>
      </c>
      <c r="F598" s="1" t="s">
        <v>8</v>
      </c>
      <c r="G598" s="1" t="s">
        <v>8</v>
      </c>
      <c r="H598" s="1" t="s">
        <v>8</v>
      </c>
      <c r="I598" s="1" t="s">
        <v>8</v>
      </c>
      <c r="J598" s="1"/>
    </row>
    <row r="599" spans="1:10">
      <c r="A599" s="35"/>
      <c r="B599" s="36"/>
      <c r="C599" s="1">
        <v>4</v>
      </c>
      <c r="D599" s="1" t="s">
        <v>8</v>
      </c>
      <c r="E599" s="1">
        <v>121</v>
      </c>
      <c r="F599" s="1" t="s">
        <v>8</v>
      </c>
      <c r="G599" s="1" t="s">
        <v>8</v>
      </c>
      <c r="H599" s="1" t="s">
        <v>8</v>
      </c>
      <c r="I599" s="1" t="s">
        <v>8</v>
      </c>
      <c r="J599" s="1"/>
    </row>
    <row r="600" spans="1:10">
      <c r="A600" s="35"/>
      <c r="B600" s="36"/>
      <c r="C600" s="1">
        <v>5</v>
      </c>
      <c r="D600" s="1" t="s">
        <v>8</v>
      </c>
      <c r="E600" s="1">
        <v>162</v>
      </c>
      <c r="F600" s="1" t="s">
        <v>8</v>
      </c>
      <c r="G600" s="1" t="s">
        <v>8</v>
      </c>
      <c r="H600" s="1" t="s">
        <v>8</v>
      </c>
      <c r="I600" s="1" t="s">
        <v>8</v>
      </c>
      <c r="J600" s="1"/>
    </row>
    <row r="601" spans="1:10">
      <c r="A601" s="35"/>
      <c r="B601" s="36"/>
      <c r="C601" s="7" t="s">
        <v>6</v>
      </c>
      <c r="D601" s="8" t="str">
        <f t="shared" ref="D601" si="181">IF(SUM(D596:D600)=0,"-",SUM(D596:D600))</f>
        <v>-</v>
      </c>
      <c r="E601" s="8">
        <f t="shared" ref="E601:I601" si="182">IF(SUM(E596:E600)=0,"-",SUM(E596:E600))</f>
        <v>674</v>
      </c>
      <c r="F601" s="8" t="str">
        <f t="shared" si="182"/>
        <v>-</v>
      </c>
      <c r="G601" s="8" t="str">
        <f t="shared" si="182"/>
        <v>-</v>
      </c>
      <c r="H601" s="8" t="str">
        <f t="shared" si="182"/>
        <v>-</v>
      </c>
      <c r="I601" s="8" t="str">
        <f t="shared" si="182"/>
        <v>-</v>
      </c>
      <c r="J601" s="8"/>
    </row>
    <row r="602" spans="1:10">
      <c r="A602" s="35"/>
      <c r="B602" s="36"/>
      <c r="C602" s="9" t="s">
        <v>7</v>
      </c>
      <c r="D602" s="10" t="str">
        <f>IF(D601="-","-",D601/MAX($C596:$C600))</f>
        <v>-</v>
      </c>
      <c r="E602" s="10">
        <f>IF(E601="-","-",E601/MAX($C596:$C600))</f>
        <v>134.80000000000001</v>
      </c>
      <c r="F602" s="10" t="str">
        <f>IF(F601="-","-",F601/ (MAX($C596:$C600)-2))</f>
        <v>-</v>
      </c>
      <c r="G602" s="10" t="str">
        <f>IF(G601="-","-",G601/MAX($C596:$C600))</f>
        <v>-</v>
      </c>
      <c r="H602" s="10" t="str">
        <f>IF(H601="-","-",H601/MAX($C596:$C600))</f>
        <v>-</v>
      </c>
      <c r="I602" s="10" t="str">
        <f>IF(I601="-","-",I601/MAX($C596:$C600))</f>
        <v>-</v>
      </c>
      <c r="J602" s="10"/>
    </row>
    <row r="603" spans="1:10">
      <c r="A603" s="34" t="s">
        <v>77</v>
      </c>
      <c r="B603" s="36">
        <v>45498</v>
      </c>
      <c r="C603" s="1">
        <v>1</v>
      </c>
      <c r="D603" s="1">
        <v>86</v>
      </c>
      <c r="E603" s="1" t="s">
        <v>8</v>
      </c>
      <c r="F603" s="1" t="s">
        <v>8</v>
      </c>
      <c r="G603" s="1" t="s">
        <v>8</v>
      </c>
      <c r="H603" s="1" t="s">
        <v>8</v>
      </c>
      <c r="I603" s="1" t="s">
        <v>8</v>
      </c>
      <c r="J603" s="1"/>
    </row>
    <row r="604" spans="1:10">
      <c r="A604" s="35"/>
      <c r="B604" s="36"/>
      <c r="C604" s="1">
        <v>2</v>
      </c>
      <c r="D604" s="1">
        <v>96</v>
      </c>
      <c r="E604" s="1" t="s">
        <v>8</v>
      </c>
      <c r="F604" s="1" t="s">
        <v>8</v>
      </c>
      <c r="G604" s="1" t="s">
        <v>8</v>
      </c>
      <c r="H604" s="1" t="s">
        <v>8</v>
      </c>
      <c r="I604" s="1" t="s">
        <v>8</v>
      </c>
      <c r="J604" s="1"/>
    </row>
    <row r="605" spans="1:10">
      <c r="A605" s="35"/>
      <c r="B605" s="36"/>
      <c r="C605" s="1">
        <v>3</v>
      </c>
      <c r="D605" s="1">
        <v>114</v>
      </c>
      <c r="E605" s="1" t="s">
        <v>8</v>
      </c>
      <c r="F605" s="1" t="s">
        <v>8</v>
      </c>
      <c r="G605" s="1" t="s">
        <v>8</v>
      </c>
      <c r="H605" s="1" t="s">
        <v>8</v>
      </c>
      <c r="I605" s="1" t="s">
        <v>8</v>
      </c>
      <c r="J605" s="1"/>
    </row>
    <row r="606" spans="1:10">
      <c r="A606" s="35"/>
      <c r="B606" s="36"/>
      <c r="C606" s="1">
        <v>4</v>
      </c>
      <c r="D606" s="1">
        <v>102</v>
      </c>
      <c r="E606" s="1" t="s">
        <v>8</v>
      </c>
      <c r="F606" s="1" t="s">
        <v>8</v>
      </c>
      <c r="G606" s="1" t="s">
        <v>8</v>
      </c>
      <c r="H606" s="1" t="s">
        <v>8</v>
      </c>
      <c r="I606" s="1" t="s">
        <v>8</v>
      </c>
      <c r="J606" s="1"/>
    </row>
    <row r="607" spans="1:10">
      <c r="A607" s="35"/>
      <c r="B607" s="36"/>
      <c r="C607" s="1">
        <v>5</v>
      </c>
      <c r="D607" s="1">
        <v>112</v>
      </c>
      <c r="E607" s="1" t="s">
        <v>8</v>
      </c>
      <c r="F607" s="1" t="s">
        <v>8</v>
      </c>
      <c r="G607" s="1" t="s">
        <v>8</v>
      </c>
      <c r="H607" s="1" t="s">
        <v>8</v>
      </c>
      <c r="I607" s="1" t="s">
        <v>8</v>
      </c>
      <c r="J607" s="1"/>
    </row>
    <row r="608" spans="1:10">
      <c r="A608" s="35"/>
      <c r="B608" s="36"/>
      <c r="C608" s="7" t="s">
        <v>6</v>
      </c>
      <c r="D608" s="8">
        <f t="shared" ref="D608" si="183">IF(SUM(D603:D607)=0,"-",SUM(D603:D607))</f>
        <v>510</v>
      </c>
      <c r="E608" s="8" t="str">
        <f t="shared" ref="E608:I608" si="184">IF(SUM(E603:E607)=0,"-",SUM(E603:E607))</f>
        <v>-</v>
      </c>
      <c r="F608" s="8" t="str">
        <f t="shared" si="184"/>
        <v>-</v>
      </c>
      <c r="G608" s="8" t="str">
        <f t="shared" si="184"/>
        <v>-</v>
      </c>
      <c r="H608" s="8" t="str">
        <f t="shared" si="184"/>
        <v>-</v>
      </c>
      <c r="I608" s="8" t="str">
        <f t="shared" si="184"/>
        <v>-</v>
      </c>
      <c r="J608" s="8"/>
    </row>
    <row r="609" spans="1:10">
      <c r="A609" s="35"/>
      <c r="B609" s="36"/>
      <c r="C609" s="9" t="s">
        <v>7</v>
      </c>
      <c r="D609" s="10">
        <f>IF(D608="-","-",D608/MAX($C603:$C607))</f>
        <v>102</v>
      </c>
      <c r="E609" s="10" t="str">
        <f>IF(E608="-","-",E608/MAX($C603:$C607))</f>
        <v>-</v>
      </c>
      <c r="F609" s="10" t="str">
        <f>IF(F608="-","-",F608/ (MAX($C603:$C607)-2))</f>
        <v>-</v>
      </c>
      <c r="G609" s="10" t="str">
        <f>IF(G608="-","-",G608/MAX($C603:$C607))</f>
        <v>-</v>
      </c>
      <c r="H609" s="10" t="str">
        <f>IF(H608="-","-",H608/MAX($C603:$C607))</f>
        <v>-</v>
      </c>
      <c r="I609" s="10" t="str">
        <f>IF(I608="-","-",I608/MAX($C603:$C607))</f>
        <v>-</v>
      </c>
      <c r="J609" s="10"/>
    </row>
    <row r="610" spans="1:10">
      <c r="A610" s="34" t="s">
        <v>78</v>
      </c>
      <c r="B610" s="36">
        <v>45529</v>
      </c>
      <c r="C610" s="1">
        <v>1</v>
      </c>
      <c r="D610" s="1">
        <v>106</v>
      </c>
      <c r="E610" s="1">
        <v>123</v>
      </c>
      <c r="F610" s="1" t="s">
        <v>8</v>
      </c>
      <c r="G610" s="1" t="s">
        <v>8</v>
      </c>
      <c r="H610" s="1">
        <v>79</v>
      </c>
      <c r="I610" s="1" t="s">
        <v>8</v>
      </c>
      <c r="J610" s="1"/>
    </row>
    <row r="611" spans="1:10">
      <c r="A611" s="35"/>
      <c r="B611" s="36"/>
      <c r="C611" s="1">
        <v>2</v>
      </c>
      <c r="D611" s="1">
        <v>127</v>
      </c>
      <c r="E611" s="1">
        <v>142</v>
      </c>
      <c r="F611" s="1" t="s">
        <v>8</v>
      </c>
      <c r="G611" s="1" t="s">
        <v>8</v>
      </c>
      <c r="H611" s="1">
        <v>114</v>
      </c>
      <c r="I611" s="1" t="s">
        <v>8</v>
      </c>
      <c r="J611" s="1"/>
    </row>
    <row r="612" spans="1:10">
      <c r="A612" s="35"/>
      <c r="B612" s="36"/>
      <c r="C612" s="1">
        <v>3</v>
      </c>
      <c r="D612" s="1">
        <v>96</v>
      </c>
      <c r="E612" s="1">
        <v>110</v>
      </c>
      <c r="F612" s="1" t="s">
        <v>8</v>
      </c>
      <c r="G612" s="1" t="s">
        <v>8</v>
      </c>
      <c r="H612" s="1">
        <v>79</v>
      </c>
      <c r="I612" s="1" t="s">
        <v>8</v>
      </c>
      <c r="J612" s="1"/>
    </row>
    <row r="613" spans="1:10">
      <c r="A613" s="35"/>
      <c r="B613" s="36"/>
      <c r="C613" s="1">
        <v>4</v>
      </c>
      <c r="D613" s="1">
        <v>122</v>
      </c>
      <c r="E613" s="1">
        <v>131</v>
      </c>
      <c r="F613" s="1" t="s">
        <v>8</v>
      </c>
      <c r="G613" s="1" t="s">
        <v>8</v>
      </c>
      <c r="H613" s="1">
        <v>104</v>
      </c>
      <c r="I613" s="1" t="s">
        <v>8</v>
      </c>
      <c r="J613" s="1"/>
    </row>
    <row r="614" spans="1:10">
      <c r="A614" s="35"/>
      <c r="B614" s="36"/>
      <c r="C614" s="1">
        <v>5</v>
      </c>
      <c r="D614" s="1">
        <v>100</v>
      </c>
      <c r="E614" s="1">
        <v>96</v>
      </c>
      <c r="F614" s="1" t="s">
        <v>8</v>
      </c>
      <c r="G614" s="1" t="s">
        <v>8</v>
      </c>
      <c r="H614" s="1">
        <v>95</v>
      </c>
      <c r="I614" s="1" t="s">
        <v>8</v>
      </c>
      <c r="J614" s="1"/>
    </row>
    <row r="615" spans="1:10">
      <c r="A615" s="35"/>
      <c r="B615" s="36"/>
      <c r="C615" s="7" t="s">
        <v>6</v>
      </c>
      <c r="D615" s="8">
        <f t="shared" ref="D615" si="185">IF(SUM(D610:D614)=0,"-",SUM(D610:D614))</f>
        <v>551</v>
      </c>
      <c r="E615" s="8">
        <f t="shared" ref="E615:I615" si="186">IF(SUM(E610:E614)=0,"-",SUM(E610:E614))</f>
        <v>602</v>
      </c>
      <c r="F615" s="8" t="str">
        <f t="shared" si="186"/>
        <v>-</v>
      </c>
      <c r="G615" s="8" t="str">
        <f t="shared" si="186"/>
        <v>-</v>
      </c>
      <c r="H615" s="8">
        <f t="shared" si="186"/>
        <v>471</v>
      </c>
      <c r="I615" s="8" t="str">
        <f t="shared" si="186"/>
        <v>-</v>
      </c>
      <c r="J615" s="8"/>
    </row>
    <row r="616" spans="1:10">
      <c r="A616" s="35"/>
      <c r="B616" s="36"/>
      <c r="C616" s="9" t="s">
        <v>7</v>
      </c>
      <c r="D616" s="10">
        <f>IF(D615="-","-",D615/MAX($C610:$C614))</f>
        <v>110.2</v>
      </c>
      <c r="E616" s="10">
        <f>IF(E615="-","-",E615/MAX($C610:$C614))</f>
        <v>120.4</v>
      </c>
      <c r="F616" s="10" t="str">
        <f>IF(F615="-","-",F615/ (MAX($C610:$C614)-2))</f>
        <v>-</v>
      </c>
      <c r="G616" s="10" t="str">
        <f>IF(G615="-","-",G615/MAX($C610:$C614))</f>
        <v>-</v>
      </c>
      <c r="H616" s="10">
        <f>IF(H615="-","-",H615/MAX($C610:$C614))</f>
        <v>94.2</v>
      </c>
      <c r="I616" s="10" t="str">
        <f>IF(I615="-","-",I615/MAX($C610:$C614))</f>
        <v>-</v>
      </c>
      <c r="J616" s="10"/>
    </row>
    <row r="617" spans="1:10">
      <c r="A617" s="34" t="s">
        <v>79</v>
      </c>
      <c r="B617" s="36">
        <v>45564</v>
      </c>
      <c r="C617" s="1">
        <v>1</v>
      </c>
      <c r="D617" s="1">
        <v>121</v>
      </c>
      <c r="E617" s="1">
        <v>104</v>
      </c>
      <c r="F617" s="1" t="s">
        <v>8</v>
      </c>
      <c r="G617" s="1" t="s">
        <v>8</v>
      </c>
      <c r="H617" s="1">
        <v>59</v>
      </c>
      <c r="I617" s="1">
        <v>98</v>
      </c>
      <c r="J617" s="1"/>
    </row>
    <row r="618" spans="1:10">
      <c r="A618" s="35"/>
      <c r="B618" s="36"/>
      <c r="C618" s="1">
        <v>2</v>
      </c>
      <c r="D618" s="1">
        <v>82</v>
      </c>
      <c r="E618" s="1">
        <v>134</v>
      </c>
      <c r="F618" s="1" t="s">
        <v>8</v>
      </c>
      <c r="G618" s="1" t="s">
        <v>8</v>
      </c>
      <c r="H618" s="1">
        <v>73</v>
      </c>
      <c r="I618" s="1">
        <v>108</v>
      </c>
      <c r="J618" s="1"/>
    </row>
    <row r="619" spans="1:10">
      <c r="A619" s="35"/>
      <c r="B619" s="36"/>
      <c r="C619" s="1">
        <v>3</v>
      </c>
      <c r="D619" s="1">
        <v>125</v>
      </c>
      <c r="E619" s="1">
        <v>179</v>
      </c>
      <c r="F619" s="1" t="s">
        <v>8</v>
      </c>
      <c r="G619" s="1" t="s">
        <v>8</v>
      </c>
      <c r="H619" s="1">
        <v>102</v>
      </c>
      <c r="I619" s="1">
        <v>109</v>
      </c>
      <c r="J619" s="1"/>
    </row>
    <row r="620" spans="1:10">
      <c r="A620" s="35"/>
      <c r="B620" s="36"/>
      <c r="C620" s="1">
        <v>4</v>
      </c>
      <c r="D620" s="1">
        <v>92</v>
      </c>
      <c r="E620" s="1">
        <v>148</v>
      </c>
      <c r="F620" s="1" t="s">
        <v>8</v>
      </c>
      <c r="G620" s="1" t="s">
        <v>8</v>
      </c>
      <c r="H620" s="1">
        <v>110</v>
      </c>
      <c r="I620" s="1">
        <v>143</v>
      </c>
      <c r="J620" s="1"/>
    </row>
    <row r="621" spans="1:10">
      <c r="A621" s="35"/>
      <c r="B621" s="36"/>
      <c r="C621" s="1">
        <v>5</v>
      </c>
      <c r="D621" s="1">
        <v>112</v>
      </c>
      <c r="E621" s="1">
        <v>140</v>
      </c>
      <c r="F621" s="1" t="s">
        <v>8</v>
      </c>
      <c r="G621" s="1" t="s">
        <v>8</v>
      </c>
      <c r="H621" s="1">
        <v>96</v>
      </c>
      <c r="I621" s="1">
        <v>114</v>
      </c>
      <c r="J621" s="1"/>
    </row>
    <row r="622" spans="1:10">
      <c r="A622" s="35"/>
      <c r="B622" s="36"/>
      <c r="C622" s="7" t="s">
        <v>6</v>
      </c>
      <c r="D622" s="8">
        <f t="shared" ref="D622" si="187">IF(SUM(D617:D621)=0,"-",SUM(D617:D621))</f>
        <v>532</v>
      </c>
      <c r="E622" s="8">
        <f t="shared" ref="E622:I622" si="188">IF(SUM(E617:E621)=0,"-",SUM(E617:E621))</f>
        <v>705</v>
      </c>
      <c r="F622" s="8" t="str">
        <f t="shared" si="188"/>
        <v>-</v>
      </c>
      <c r="G622" s="8" t="str">
        <f t="shared" si="188"/>
        <v>-</v>
      </c>
      <c r="H622" s="8">
        <f t="shared" si="188"/>
        <v>440</v>
      </c>
      <c r="I622" s="8">
        <f t="shared" si="188"/>
        <v>572</v>
      </c>
      <c r="J622" s="8"/>
    </row>
    <row r="623" spans="1:10">
      <c r="A623" s="35"/>
      <c r="B623" s="36"/>
      <c r="C623" s="9" t="s">
        <v>7</v>
      </c>
      <c r="D623" s="10">
        <f>IF(D622="-","-",D622/MAX($C617:$C621))</f>
        <v>106.4</v>
      </c>
      <c r="E623" s="10">
        <f>IF(E622="-","-",E622/MAX($C617:$C621))</f>
        <v>141</v>
      </c>
      <c r="F623" s="10" t="str">
        <f>IF(F622="-","-",F622/ (MAX($C617:$C621)-2))</f>
        <v>-</v>
      </c>
      <c r="G623" s="10" t="str">
        <f>IF(G622="-","-",G622/MAX($C617:$C621))</f>
        <v>-</v>
      </c>
      <c r="H623" s="10">
        <f>IF(H622="-","-",H622/MAX($C617:$C621))</f>
        <v>88</v>
      </c>
      <c r="I623" s="10">
        <f>IF(I622="-","-",I622/MAX($C617:$C621))</f>
        <v>114.4</v>
      </c>
      <c r="J623" s="10"/>
    </row>
    <row r="624" spans="1:10">
      <c r="A624" s="34" t="s">
        <v>80</v>
      </c>
      <c r="B624" s="36">
        <v>45585</v>
      </c>
      <c r="C624" s="1">
        <v>1</v>
      </c>
      <c r="D624" s="1">
        <v>103</v>
      </c>
      <c r="E624" s="1" t="s">
        <v>8</v>
      </c>
      <c r="F624" s="1" t="s">
        <v>8</v>
      </c>
      <c r="G624" s="1" t="s">
        <v>8</v>
      </c>
      <c r="H624" s="1">
        <v>107</v>
      </c>
      <c r="I624" s="1" t="s">
        <v>8</v>
      </c>
      <c r="J624" s="1"/>
    </row>
    <row r="625" spans="1:10">
      <c r="A625" s="35"/>
      <c r="B625" s="36"/>
      <c r="C625" s="1">
        <v>2</v>
      </c>
      <c r="D625" s="1">
        <v>109</v>
      </c>
      <c r="E625" s="1" t="s">
        <v>8</v>
      </c>
      <c r="F625" s="1" t="s">
        <v>8</v>
      </c>
      <c r="G625" s="1" t="s">
        <v>8</v>
      </c>
      <c r="H625" s="1">
        <v>94</v>
      </c>
      <c r="I625" s="1" t="s">
        <v>8</v>
      </c>
      <c r="J625" s="1"/>
    </row>
    <row r="626" spans="1:10">
      <c r="A626" s="35"/>
      <c r="B626" s="36"/>
      <c r="C626" s="1">
        <v>3</v>
      </c>
      <c r="D626" s="1">
        <v>115</v>
      </c>
      <c r="E626" s="1" t="s">
        <v>8</v>
      </c>
      <c r="F626" s="1" t="s">
        <v>8</v>
      </c>
      <c r="G626" s="1" t="s">
        <v>8</v>
      </c>
      <c r="H626" s="1">
        <v>97</v>
      </c>
      <c r="I626" s="1" t="s">
        <v>8</v>
      </c>
      <c r="J626" s="1"/>
    </row>
    <row r="627" spans="1:10">
      <c r="A627" s="35"/>
      <c r="B627" s="36"/>
      <c r="C627" s="1">
        <v>4</v>
      </c>
      <c r="D627" s="1">
        <v>114</v>
      </c>
      <c r="E627" s="1" t="s">
        <v>8</v>
      </c>
      <c r="F627" s="1" t="s">
        <v>8</v>
      </c>
      <c r="G627" s="1" t="s">
        <v>8</v>
      </c>
      <c r="H627" s="1">
        <v>95</v>
      </c>
      <c r="I627" s="1" t="s">
        <v>8</v>
      </c>
      <c r="J627" s="1"/>
    </row>
    <row r="628" spans="1:10">
      <c r="A628" s="35"/>
      <c r="B628" s="36"/>
      <c r="C628" s="1">
        <v>5</v>
      </c>
      <c r="D628" s="1">
        <v>97</v>
      </c>
      <c r="E628" s="1" t="s">
        <v>8</v>
      </c>
      <c r="F628" s="1" t="s">
        <v>8</v>
      </c>
      <c r="G628" s="1" t="s">
        <v>8</v>
      </c>
      <c r="H628" s="1">
        <v>136</v>
      </c>
      <c r="I628" s="1" t="s">
        <v>8</v>
      </c>
      <c r="J628" s="1"/>
    </row>
    <row r="629" spans="1:10">
      <c r="A629" s="35"/>
      <c r="B629" s="36"/>
      <c r="C629" s="7" t="s">
        <v>6</v>
      </c>
      <c r="D629" s="8">
        <f t="shared" ref="D629" si="189">IF(SUM(D624:D628)=0,"-",SUM(D624:D628))</f>
        <v>538</v>
      </c>
      <c r="E629" s="8" t="str">
        <f t="shared" ref="E629:I629" si="190">IF(SUM(E624:E628)=0,"-",SUM(E624:E628))</f>
        <v>-</v>
      </c>
      <c r="F629" s="8" t="str">
        <f t="shared" si="190"/>
        <v>-</v>
      </c>
      <c r="G629" s="8" t="str">
        <f t="shared" si="190"/>
        <v>-</v>
      </c>
      <c r="H629" s="8">
        <f t="shared" si="190"/>
        <v>529</v>
      </c>
      <c r="I629" s="8" t="str">
        <f t="shared" si="190"/>
        <v>-</v>
      </c>
      <c r="J629" s="8"/>
    </row>
    <row r="630" spans="1:10">
      <c r="A630" s="35"/>
      <c r="B630" s="36"/>
      <c r="C630" s="9" t="s">
        <v>7</v>
      </c>
      <c r="D630" s="10">
        <f>IF(D629="-","-",D629/MAX($C624:$C628))</f>
        <v>107.6</v>
      </c>
      <c r="E630" s="10" t="str">
        <f>IF(E629="-","-",E629/MAX($C624:$C628))</f>
        <v>-</v>
      </c>
      <c r="F630" s="10" t="str">
        <f>IF(F629="-","-",F629/ (MAX($C624:$C628)-2))</f>
        <v>-</v>
      </c>
      <c r="G630" s="10" t="str">
        <f>IF(G629="-","-",G629/MAX($C624:$C628))</f>
        <v>-</v>
      </c>
      <c r="H630" s="10">
        <f>IF(H629="-","-",H629/MAX($C624:$C628))</f>
        <v>105.8</v>
      </c>
      <c r="I630" s="10" t="str">
        <f>IF(I629="-","-",I629/MAX($C624:$C628))</f>
        <v>-</v>
      </c>
      <c r="J630" s="10"/>
    </row>
    <row r="631" spans="1:10">
      <c r="A631" s="34" t="s">
        <v>81</v>
      </c>
      <c r="B631" s="36">
        <v>45606</v>
      </c>
      <c r="C631" s="1">
        <v>1</v>
      </c>
      <c r="D631" s="1">
        <v>117</v>
      </c>
      <c r="E631" s="1" t="s">
        <v>8</v>
      </c>
      <c r="F631" s="1" t="s">
        <v>8</v>
      </c>
      <c r="G631" s="1" t="s">
        <v>8</v>
      </c>
      <c r="H631" s="1">
        <v>80</v>
      </c>
      <c r="I631" s="1" t="s">
        <v>8</v>
      </c>
      <c r="J631" s="1"/>
    </row>
    <row r="632" spans="1:10">
      <c r="A632" s="35"/>
      <c r="B632" s="36"/>
      <c r="C632" s="1">
        <v>2</v>
      </c>
      <c r="D632" s="1">
        <v>129</v>
      </c>
      <c r="E632" s="1" t="s">
        <v>8</v>
      </c>
      <c r="F632" s="1" t="s">
        <v>8</v>
      </c>
      <c r="G632" s="1" t="s">
        <v>8</v>
      </c>
      <c r="H632" s="1">
        <v>99</v>
      </c>
      <c r="I632" s="1" t="s">
        <v>8</v>
      </c>
      <c r="J632" s="1"/>
    </row>
    <row r="633" spans="1:10">
      <c r="A633" s="35"/>
      <c r="B633" s="36"/>
      <c r="C633" s="1">
        <v>3</v>
      </c>
      <c r="D633" s="1">
        <v>96</v>
      </c>
      <c r="E633" s="1" t="s">
        <v>8</v>
      </c>
      <c r="F633" s="1" t="s">
        <v>8</v>
      </c>
      <c r="G633" s="1" t="s">
        <v>8</v>
      </c>
      <c r="H633" s="1">
        <v>84</v>
      </c>
      <c r="I633" s="1" t="s">
        <v>8</v>
      </c>
      <c r="J633" s="1"/>
    </row>
    <row r="634" spans="1:10">
      <c r="A634" s="35"/>
      <c r="B634" s="36"/>
      <c r="C634" s="1">
        <v>4</v>
      </c>
      <c r="D634" s="1">
        <v>133</v>
      </c>
      <c r="E634" s="1" t="s">
        <v>8</v>
      </c>
      <c r="F634" s="1" t="s">
        <v>8</v>
      </c>
      <c r="G634" s="1" t="s">
        <v>8</v>
      </c>
      <c r="H634" s="1">
        <v>115</v>
      </c>
      <c r="I634" s="1" t="s">
        <v>8</v>
      </c>
      <c r="J634" s="1"/>
    </row>
    <row r="635" spans="1:10">
      <c r="A635" s="35"/>
      <c r="B635" s="36"/>
      <c r="C635" s="1">
        <v>5</v>
      </c>
      <c r="D635" s="1">
        <v>102</v>
      </c>
      <c r="E635" s="1" t="s">
        <v>8</v>
      </c>
      <c r="F635" s="1" t="s">
        <v>8</v>
      </c>
      <c r="G635" s="1" t="s">
        <v>8</v>
      </c>
      <c r="H635" s="1">
        <v>103</v>
      </c>
      <c r="I635" s="1" t="s">
        <v>8</v>
      </c>
      <c r="J635" s="1"/>
    </row>
    <row r="636" spans="1:10">
      <c r="A636" s="35"/>
      <c r="B636" s="36"/>
      <c r="C636" s="7" t="s">
        <v>6</v>
      </c>
      <c r="D636" s="8">
        <f t="shared" ref="D636" si="191">IF(SUM(D631:D635)=0,"-",SUM(D631:D635))</f>
        <v>577</v>
      </c>
      <c r="E636" s="8" t="str">
        <f t="shared" ref="E636:I636" si="192">IF(SUM(E631:E635)=0,"-",SUM(E631:E635))</f>
        <v>-</v>
      </c>
      <c r="F636" s="8" t="str">
        <f t="shared" si="192"/>
        <v>-</v>
      </c>
      <c r="G636" s="8" t="str">
        <f t="shared" si="192"/>
        <v>-</v>
      </c>
      <c r="H636" s="8">
        <f t="shared" si="192"/>
        <v>481</v>
      </c>
      <c r="I636" s="8" t="str">
        <f t="shared" si="192"/>
        <v>-</v>
      </c>
      <c r="J636" s="8"/>
    </row>
    <row r="637" spans="1:10">
      <c r="A637" s="35"/>
      <c r="B637" s="36"/>
      <c r="C637" s="9" t="s">
        <v>7</v>
      </c>
      <c r="D637" s="10">
        <f>IF(D636="-","-",D636/MAX($C631:$C635))</f>
        <v>115.4</v>
      </c>
      <c r="E637" s="10" t="str">
        <f>IF(E636="-","-",E636/MAX($C631:$C635))</f>
        <v>-</v>
      </c>
      <c r="F637" s="10" t="str">
        <f>IF(F636="-","-",F636/ (MAX($C631:$C635)-2))</f>
        <v>-</v>
      </c>
      <c r="G637" s="10" t="str">
        <f>IF(G636="-","-",G636/MAX($C631:$C635))</f>
        <v>-</v>
      </c>
      <c r="H637" s="10">
        <f>IF(H636="-","-",H636/MAX($C631:$C635))</f>
        <v>96.2</v>
      </c>
      <c r="I637" s="10" t="str">
        <f>IF(I636="-","-",I636/MAX($C631:$C635))</f>
        <v>-</v>
      </c>
      <c r="J637" s="10"/>
    </row>
    <row r="638" spans="1:10">
      <c r="A638" s="34" t="s">
        <v>82</v>
      </c>
      <c r="B638" s="36">
        <v>45620</v>
      </c>
      <c r="C638" s="1">
        <v>1</v>
      </c>
      <c r="D638" s="1">
        <v>108</v>
      </c>
      <c r="E638" s="1">
        <v>137</v>
      </c>
      <c r="F638" s="1" t="s">
        <v>8</v>
      </c>
      <c r="G638" s="1" t="s">
        <v>8</v>
      </c>
      <c r="H638" s="1">
        <v>103</v>
      </c>
      <c r="I638" s="1">
        <v>148</v>
      </c>
      <c r="J638" s="1"/>
    </row>
    <row r="639" spans="1:10">
      <c r="A639" s="35"/>
      <c r="B639" s="36"/>
      <c r="C639" s="1">
        <v>2</v>
      </c>
      <c r="D639" s="1">
        <v>108</v>
      </c>
      <c r="E639" s="1">
        <v>150</v>
      </c>
      <c r="F639" s="1" t="s">
        <v>8</v>
      </c>
      <c r="G639" s="1" t="s">
        <v>8</v>
      </c>
      <c r="H639" s="1">
        <v>73</v>
      </c>
      <c r="I639" s="1">
        <v>118</v>
      </c>
      <c r="J639" s="1"/>
    </row>
    <row r="640" spans="1:10">
      <c r="A640" s="35"/>
      <c r="B640" s="36"/>
      <c r="C640" s="1">
        <v>3</v>
      </c>
      <c r="D640" s="1">
        <v>130</v>
      </c>
      <c r="E640" s="1">
        <v>148</v>
      </c>
      <c r="F640" s="1" t="s">
        <v>8</v>
      </c>
      <c r="G640" s="1" t="s">
        <v>8</v>
      </c>
      <c r="H640" s="1">
        <v>89</v>
      </c>
      <c r="I640" s="1">
        <v>105</v>
      </c>
      <c r="J640" s="1"/>
    </row>
    <row r="641" spans="1:10">
      <c r="A641" s="35"/>
      <c r="B641" s="36"/>
      <c r="C641" s="1">
        <v>4</v>
      </c>
      <c r="D641" s="1">
        <v>124</v>
      </c>
      <c r="E641" s="1">
        <v>179</v>
      </c>
      <c r="F641" s="1" t="s">
        <v>8</v>
      </c>
      <c r="G641" s="1" t="s">
        <v>8</v>
      </c>
      <c r="H641" s="1">
        <v>71</v>
      </c>
      <c r="I641" s="1">
        <v>105</v>
      </c>
      <c r="J641" s="1"/>
    </row>
    <row r="642" spans="1:10">
      <c r="A642" s="35"/>
      <c r="B642" s="36"/>
      <c r="C642" s="1">
        <v>5</v>
      </c>
      <c r="D642" s="1">
        <v>110</v>
      </c>
      <c r="E642" s="1">
        <v>133</v>
      </c>
      <c r="F642" s="1" t="s">
        <v>8</v>
      </c>
      <c r="G642" s="1" t="s">
        <v>8</v>
      </c>
      <c r="H642" s="1">
        <v>102</v>
      </c>
      <c r="I642" s="1">
        <v>118</v>
      </c>
      <c r="J642" s="1"/>
    </row>
    <row r="643" spans="1:10">
      <c r="A643" s="35"/>
      <c r="B643" s="36"/>
      <c r="C643" s="7" t="s">
        <v>6</v>
      </c>
      <c r="D643" s="8">
        <f t="shared" ref="D643" si="193">IF(SUM(D638:D642)=0,"-",SUM(D638:D642))</f>
        <v>580</v>
      </c>
      <c r="E643" s="8">
        <f t="shared" ref="E643:I643" si="194">IF(SUM(E638:E642)=0,"-",SUM(E638:E642))</f>
        <v>747</v>
      </c>
      <c r="F643" s="8" t="str">
        <f t="shared" si="194"/>
        <v>-</v>
      </c>
      <c r="G643" s="8" t="str">
        <f t="shared" si="194"/>
        <v>-</v>
      </c>
      <c r="H643" s="8">
        <f t="shared" si="194"/>
        <v>438</v>
      </c>
      <c r="I643" s="8">
        <f t="shared" si="194"/>
        <v>594</v>
      </c>
      <c r="J643" s="8"/>
    </row>
    <row r="644" spans="1:10">
      <c r="A644" s="35"/>
      <c r="B644" s="36"/>
      <c r="C644" s="9" t="s">
        <v>7</v>
      </c>
      <c r="D644" s="10">
        <f>IF(D643="-","-",D643/MAX($C638:$C642))</f>
        <v>116</v>
      </c>
      <c r="E644" s="10">
        <f>IF(E643="-","-",E643/MAX($C638:$C642))</f>
        <v>149.4</v>
      </c>
      <c r="F644" s="10" t="str">
        <f>IF(F643="-","-",F643/ (MAX($C638:$C642)-2))</f>
        <v>-</v>
      </c>
      <c r="G644" s="10" t="str">
        <f>IF(G643="-","-",G643/MAX($C638:$C642))</f>
        <v>-</v>
      </c>
      <c r="H644" s="10">
        <f>IF(H643="-","-",H643/MAX($C638:$C642))</f>
        <v>87.6</v>
      </c>
      <c r="I644" s="10">
        <f>IF(I643="-","-",I643/MAX($C638:$C642))</f>
        <v>118.8</v>
      </c>
      <c r="J644" s="10"/>
    </row>
    <row r="645" spans="1:10">
      <c r="A645" s="34" t="s">
        <v>83</v>
      </c>
      <c r="B645" s="36">
        <v>45646</v>
      </c>
      <c r="C645" s="1">
        <v>1</v>
      </c>
      <c r="D645" s="1" t="s">
        <v>8</v>
      </c>
      <c r="E645" s="1">
        <v>159</v>
      </c>
      <c r="F645" s="1" t="s">
        <v>8</v>
      </c>
      <c r="G645" s="1" t="s">
        <v>8</v>
      </c>
      <c r="H645" s="1" t="s">
        <v>8</v>
      </c>
      <c r="I645" s="1" t="s">
        <v>8</v>
      </c>
      <c r="J645" s="1"/>
    </row>
    <row r="646" spans="1:10">
      <c r="A646" s="35"/>
      <c r="B646" s="36"/>
      <c r="C646" s="1">
        <v>2</v>
      </c>
      <c r="D646" s="1" t="s">
        <v>8</v>
      </c>
      <c r="E646" s="1">
        <v>134</v>
      </c>
      <c r="F646" s="1" t="s">
        <v>8</v>
      </c>
      <c r="G646" s="1" t="s">
        <v>8</v>
      </c>
      <c r="H646" s="1" t="s">
        <v>8</v>
      </c>
      <c r="I646" s="1" t="s">
        <v>8</v>
      </c>
      <c r="J646" s="1"/>
    </row>
    <row r="647" spans="1:10">
      <c r="A647" s="35"/>
      <c r="B647" s="36"/>
      <c r="C647" s="1">
        <v>3</v>
      </c>
      <c r="D647" s="1" t="s">
        <v>8</v>
      </c>
      <c r="E647" s="1">
        <v>176</v>
      </c>
      <c r="F647" s="1" t="s">
        <v>8</v>
      </c>
      <c r="G647" s="1" t="s">
        <v>8</v>
      </c>
      <c r="H647" s="1" t="s">
        <v>8</v>
      </c>
      <c r="I647" s="1" t="s">
        <v>8</v>
      </c>
      <c r="J647" s="1"/>
    </row>
    <row r="648" spans="1:10">
      <c r="A648" s="35"/>
      <c r="B648" s="36"/>
      <c r="C648" s="1">
        <v>4</v>
      </c>
      <c r="D648" s="1" t="s">
        <v>8</v>
      </c>
      <c r="E648" s="1">
        <v>162</v>
      </c>
      <c r="F648" s="1" t="s">
        <v>8</v>
      </c>
      <c r="G648" s="1" t="s">
        <v>8</v>
      </c>
      <c r="H648" s="1" t="s">
        <v>8</v>
      </c>
      <c r="I648" s="1" t="s">
        <v>8</v>
      </c>
      <c r="J648" s="1"/>
    </row>
    <row r="649" spans="1:10">
      <c r="A649" s="35"/>
      <c r="B649" s="36"/>
      <c r="C649" s="1">
        <v>5</v>
      </c>
      <c r="D649" s="1" t="s">
        <v>8</v>
      </c>
      <c r="E649" s="1">
        <v>127</v>
      </c>
      <c r="F649" s="1" t="s">
        <v>8</v>
      </c>
      <c r="G649" s="1" t="s">
        <v>8</v>
      </c>
      <c r="H649" s="1" t="s">
        <v>8</v>
      </c>
      <c r="I649" s="1" t="s">
        <v>8</v>
      </c>
      <c r="J649" s="1"/>
    </row>
    <row r="650" spans="1:10">
      <c r="A650" s="35"/>
      <c r="B650" s="36"/>
      <c r="C650" s="7" t="s">
        <v>6</v>
      </c>
      <c r="D650" s="8" t="str">
        <f t="shared" ref="D650" si="195">IF(SUM(D645:D649)=0,"-",SUM(D645:D649))</f>
        <v>-</v>
      </c>
      <c r="E650" s="8">
        <f t="shared" ref="E650:I650" si="196">IF(SUM(E645:E649)=0,"-",SUM(E645:E649))</f>
        <v>758</v>
      </c>
      <c r="F650" s="8" t="str">
        <f t="shared" si="196"/>
        <v>-</v>
      </c>
      <c r="G650" s="8" t="str">
        <f t="shared" si="196"/>
        <v>-</v>
      </c>
      <c r="H650" s="8" t="str">
        <f t="shared" si="196"/>
        <v>-</v>
      </c>
      <c r="I650" s="8" t="str">
        <f t="shared" si="196"/>
        <v>-</v>
      </c>
      <c r="J650" s="8"/>
    </row>
    <row r="651" spans="1:10">
      <c r="A651" s="35"/>
      <c r="B651" s="36"/>
      <c r="C651" s="9" t="s">
        <v>7</v>
      </c>
      <c r="D651" s="10" t="str">
        <f>IF(D650="-","-",D650/MAX($C645:$C649))</f>
        <v>-</v>
      </c>
      <c r="E651" s="10">
        <f>IF(E650="-","-",E650/MAX($C645:$C649))</f>
        <v>151.6</v>
      </c>
      <c r="F651" s="10" t="str">
        <f>IF(F650="-","-",F650/ (MAX($C645:$C649)-2))</f>
        <v>-</v>
      </c>
      <c r="G651" s="10" t="str">
        <f>IF(G650="-","-",G650/MAX($C645:$C649))</f>
        <v>-</v>
      </c>
      <c r="H651" s="10" t="str">
        <f>IF(H650="-","-",H650/MAX($C645:$C649))</f>
        <v>-</v>
      </c>
      <c r="I651" s="10" t="str">
        <f>IF(I650="-","-",I650/MAX($C645:$C649))</f>
        <v>-</v>
      </c>
      <c r="J651" s="10"/>
    </row>
    <row r="652" spans="1:10">
      <c r="A652" s="50" t="s">
        <v>84</v>
      </c>
      <c r="B652" s="36">
        <v>45655</v>
      </c>
      <c r="C652" s="1">
        <v>1</v>
      </c>
      <c r="D652" s="1">
        <v>122</v>
      </c>
      <c r="E652" s="1" t="s">
        <v>8</v>
      </c>
      <c r="F652" s="1" t="s">
        <v>8</v>
      </c>
      <c r="G652" s="1" t="s">
        <v>8</v>
      </c>
      <c r="H652" s="1">
        <v>80</v>
      </c>
      <c r="I652" s="1" t="s">
        <v>8</v>
      </c>
      <c r="J652" s="1"/>
    </row>
    <row r="653" spans="1:10">
      <c r="A653" s="40"/>
      <c r="B653" s="36"/>
      <c r="C653" s="1">
        <v>2</v>
      </c>
      <c r="D653" s="1">
        <v>143</v>
      </c>
      <c r="E653" s="1" t="s">
        <v>8</v>
      </c>
      <c r="F653" s="1" t="s">
        <v>8</v>
      </c>
      <c r="G653" s="1" t="s">
        <v>8</v>
      </c>
      <c r="H653" s="1">
        <v>89</v>
      </c>
      <c r="I653" s="1" t="s">
        <v>8</v>
      </c>
      <c r="J653" s="1"/>
    </row>
    <row r="654" spans="1:10">
      <c r="A654" s="40"/>
      <c r="B654" s="36"/>
      <c r="C654" s="1">
        <v>3</v>
      </c>
      <c r="D654" s="1">
        <v>130</v>
      </c>
      <c r="E654" s="1" t="s">
        <v>8</v>
      </c>
      <c r="F654" s="1" t="s">
        <v>8</v>
      </c>
      <c r="G654" s="1" t="s">
        <v>8</v>
      </c>
      <c r="H654" s="1">
        <v>68</v>
      </c>
      <c r="I654" s="1" t="s">
        <v>8</v>
      </c>
      <c r="J654" s="1"/>
    </row>
    <row r="655" spans="1:10">
      <c r="A655" s="40"/>
      <c r="B655" s="36"/>
      <c r="C655" s="1">
        <v>4</v>
      </c>
      <c r="D655" s="1">
        <v>84</v>
      </c>
      <c r="E655" s="1" t="s">
        <v>8</v>
      </c>
      <c r="F655" s="1" t="s">
        <v>8</v>
      </c>
      <c r="G655" s="1" t="s">
        <v>8</v>
      </c>
      <c r="H655" s="1">
        <v>106</v>
      </c>
      <c r="I655" s="1" t="s">
        <v>8</v>
      </c>
      <c r="J655" s="1"/>
    </row>
    <row r="656" spans="1:10">
      <c r="A656" s="40"/>
      <c r="B656" s="36"/>
      <c r="C656" s="1">
        <v>5</v>
      </c>
      <c r="D656" s="1">
        <v>154</v>
      </c>
      <c r="E656" s="1" t="s">
        <v>8</v>
      </c>
      <c r="F656" s="1" t="s">
        <v>8</v>
      </c>
      <c r="G656" s="1" t="s">
        <v>8</v>
      </c>
      <c r="H656" s="1">
        <v>146</v>
      </c>
      <c r="I656" s="1" t="s">
        <v>8</v>
      </c>
      <c r="J656" s="1"/>
    </row>
    <row r="657" spans="1:10">
      <c r="A657" s="40"/>
      <c r="B657" s="36"/>
      <c r="C657" s="7" t="s">
        <v>6</v>
      </c>
      <c r="D657" s="8">
        <f t="shared" ref="D657" si="197">IF(SUM(D652:D656)=0,"-",SUM(D652:D656))</f>
        <v>633</v>
      </c>
      <c r="E657" s="8" t="str">
        <f t="shared" ref="E657:I657" si="198">IF(SUM(E652:E656)=0,"-",SUM(E652:E656))</f>
        <v>-</v>
      </c>
      <c r="F657" s="8" t="str">
        <f t="shared" si="198"/>
        <v>-</v>
      </c>
      <c r="G657" s="8" t="str">
        <f t="shared" si="198"/>
        <v>-</v>
      </c>
      <c r="H657" s="8">
        <f t="shared" si="198"/>
        <v>489</v>
      </c>
      <c r="I657" s="8" t="str">
        <f t="shared" si="198"/>
        <v>-</v>
      </c>
      <c r="J657" s="8"/>
    </row>
    <row r="658" spans="1:10">
      <c r="A658" s="40"/>
      <c r="B658" s="36"/>
      <c r="C658" s="9" t="s">
        <v>7</v>
      </c>
      <c r="D658" s="10">
        <f>IF(D657="-","-",D657/MAX($C652:$C656))</f>
        <v>126.6</v>
      </c>
      <c r="E658" s="10" t="str">
        <f>IF(E657="-","-",E657/MAX($C652:$C656))</f>
        <v>-</v>
      </c>
      <c r="F658" s="10" t="str">
        <f>IF(F657="-","-",F657/ (MAX($C652:$C656)-2))</f>
        <v>-</v>
      </c>
      <c r="G658" s="10" t="str">
        <f>IF(G657="-","-",G657/MAX($C652:$C656))</f>
        <v>-</v>
      </c>
      <c r="H658" s="10">
        <f>IF(H657="-","-",H657/MAX($C652:$C656))</f>
        <v>97.8</v>
      </c>
      <c r="I658" s="10" t="str">
        <f>IF(I657="-","-",I657/MAX($C652:$C656))</f>
        <v>-</v>
      </c>
      <c r="J658" s="10"/>
    </row>
    <row r="659" spans="1:10">
      <c r="A659" s="34" t="s">
        <v>85</v>
      </c>
      <c r="B659" s="36">
        <v>45669</v>
      </c>
      <c r="C659" s="1">
        <v>1</v>
      </c>
      <c r="D659" s="1">
        <v>105</v>
      </c>
      <c r="E659" s="1">
        <v>106</v>
      </c>
      <c r="F659" s="1" t="s">
        <v>8</v>
      </c>
      <c r="G659" s="1" t="s">
        <v>8</v>
      </c>
      <c r="H659" s="1" t="s">
        <v>8</v>
      </c>
      <c r="I659" s="1">
        <v>132</v>
      </c>
      <c r="J659" s="1"/>
    </row>
    <row r="660" spans="1:10">
      <c r="A660" s="35"/>
      <c r="B660" s="36"/>
      <c r="C660" s="1">
        <v>2</v>
      </c>
      <c r="D660" s="1">
        <v>123</v>
      </c>
      <c r="E660" s="1">
        <v>112</v>
      </c>
      <c r="F660" s="1" t="s">
        <v>8</v>
      </c>
      <c r="G660" s="1" t="s">
        <v>8</v>
      </c>
      <c r="H660" s="1" t="s">
        <v>8</v>
      </c>
      <c r="I660" s="1">
        <v>126</v>
      </c>
      <c r="J660" s="1"/>
    </row>
    <row r="661" spans="1:10">
      <c r="A661" s="35"/>
      <c r="B661" s="36"/>
      <c r="C661" s="1">
        <v>3</v>
      </c>
      <c r="D661" s="1">
        <v>190</v>
      </c>
      <c r="E661" s="29">
        <v>102</v>
      </c>
      <c r="F661" s="1" t="s">
        <v>8</v>
      </c>
      <c r="G661" s="1" t="s">
        <v>8</v>
      </c>
      <c r="H661" s="1" t="s">
        <v>8</v>
      </c>
      <c r="I661" s="29">
        <v>120</v>
      </c>
      <c r="J661" s="29"/>
    </row>
    <row r="662" spans="1:10">
      <c r="A662" s="35"/>
      <c r="B662" s="36"/>
      <c r="C662" s="1">
        <v>4</v>
      </c>
      <c r="D662" s="1">
        <v>102</v>
      </c>
      <c r="E662" s="1">
        <v>123</v>
      </c>
      <c r="F662" s="1" t="s">
        <v>8</v>
      </c>
      <c r="G662" s="1" t="s">
        <v>8</v>
      </c>
      <c r="H662" s="1" t="s">
        <v>8</v>
      </c>
      <c r="I662" s="1">
        <v>101</v>
      </c>
      <c r="J662" s="1"/>
    </row>
    <row r="663" spans="1:10">
      <c r="A663" s="35"/>
      <c r="B663" s="36"/>
      <c r="C663" s="1">
        <v>5</v>
      </c>
      <c r="D663" s="1">
        <v>113</v>
      </c>
      <c r="E663" s="1">
        <v>113</v>
      </c>
      <c r="F663" s="1" t="s">
        <v>8</v>
      </c>
      <c r="G663" s="1" t="s">
        <v>8</v>
      </c>
      <c r="H663" s="1" t="s">
        <v>8</v>
      </c>
      <c r="I663" s="1">
        <v>120</v>
      </c>
      <c r="J663" s="1"/>
    </row>
    <row r="664" spans="1:10">
      <c r="A664" s="35"/>
      <c r="B664" s="36"/>
      <c r="C664" s="7" t="s">
        <v>6</v>
      </c>
      <c r="D664" s="8">
        <f t="shared" ref="D664" si="199">IF(SUM(D659:D663)=0,"-",SUM(D659:D663))</f>
        <v>633</v>
      </c>
      <c r="E664" s="8">
        <f t="shared" ref="E664:I664" si="200">IF(SUM(E659:E663)=0,"-",SUM(E659:E663))</f>
        <v>556</v>
      </c>
      <c r="F664" s="8" t="str">
        <f t="shared" si="200"/>
        <v>-</v>
      </c>
      <c r="G664" s="8" t="str">
        <f t="shared" si="200"/>
        <v>-</v>
      </c>
      <c r="H664" s="8" t="str">
        <f t="shared" si="200"/>
        <v>-</v>
      </c>
      <c r="I664" s="8">
        <f t="shared" si="200"/>
        <v>599</v>
      </c>
      <c r="J664" s="8"/>
    </row>
    <row r="665" spans="1:10">
      <c r="A665" s="35"/>
      <c r="B665" s="36"/>
      <c r="C665" s="9" t="s">
        <v>7</v>
      </c>
      <c r="D665" s="10">
        <f>IF(D664="-","-",D664/MAX($C659:$C663))</f>
        <v>126.6</v>
      </c>
      <c r="E665" s="10">
        <f>IF(E664="-","-",E664/MAX($C659:$C663))</f>
        <v>111.2</v>
      </c>
      <c r="F665" s="10" t="str">
        <f>IF(F664="-","-",F664/ (MAX($C659:$C663)-2))</f>
        <v>-</v>
      </c>
      <c r="G665" s="10" t="str">
        <f>IF(G664="-","-",G664/MAX($C659:$C663))</f>
        <v>-</v>
      </c>
      <c r="H665" s="10" t="str">
        <f>IF(H664="-","-",H664/MAX($C659:$C663))</f>
        <v>-</v>
      </c>
      <c r="I665" s="10">
        <f>IF(I664="-","-",I664/MAX($C659:$C663))</f>
        <v>119.8</v>
      </c>
      <c r="J665" s="10"/>
    </row>
    <row r="666" spans="1:10">
      <c r="A666" s="34" t="s">
        <v>86</v>
      </c>
      <c r="B666" s="36">
        <v>45684</v>
      </c>
      <c r="C666" s="1">
        <v>1</v>
      </c>
      <c r="D666" s="1">
        <v>115</v>
      </c>
      <c r="E666" s="1">
        <v>160</v>
      </c>
      <c r="F666" s="1" t="s">
        <v>8</v>
      </c>
      <c r="G666" s="1" t="s">
        <v>8</v>
      </c>
      <c r="H666" s="1" t="s">
        <v>8</v>
      </c>
      <c r="I666" s="1" t="s">
        <v>8</v>
      </c>
      <c r="J666" s="1"/>
    </row>
    <row r="667" spans="1:10">
      <c r="A667" s="35"/>
      <c r="B667" s="36"/>
      <c r="C667" s="1">
        <v>2</v>
      </c>
      <c r="D667" s="1">
        <v>118</v>
      </c>
      <c r="E667" s="1">
        <v>147</v>
      </c>
      <c r="F667" s="1" t="s">
        <v>8</v>
      </c>
      <c r="G667" s="1" t="s">
        <v>8</v>
      </c>
      <c r="H667" s="1" t="s">
        <v>8</v>
      </c>
      <c r="I667" s="1" t="s">
        <v>8</v>
      </c>
      <c r="J667" s="1"/>
    </row>
    <row r="668" spans="1:10">
      <c r="A668" s="35"/>
      <c r="B668" s="36"/>
      <c r="C668" s="1">
        <v>3</v>
      </c>
      <c r="D668" s="1">
        <v>121</v>
      </c>
      <c r="E668" s="30">
        <v>126</v>
      </c>
      <c r="F668" s="1" t="s">
        <v>8</v>
      </c>
      <c r="G668" s="1" t="s">
        <v>8</v>
      </c>
      <c r="H668" s="1" t="s">
        <v>8</v>
      </c>
      <c r="I668" s="1" t="s">
        <v>8</v>
      </c>
      <c r="J668" s="1"/>
    </row>
    <row r="669" spans="1:10">
      <c r="A669" s="35"/>
      <c r="B669" s="36"/>
      <c r="C669" s="1">
        <v>4</v>
      </c>
      <c r="D669" s="1">
        <v>147</v>
      </c>
      <c r="E669" s="1">
        <v>120</v>
      </c>
      <c r="F669" s="1" t="s">
        <v>8</v>
      </c>
      <c r="G669" s="1" t="s">
        <v>8</v>
      </c>
      <c r="H669" s="1" t="s">
        <v>8</v>
      </c>
      <c r="I669" s="1" t="s">
        <v>8</v>
      </c>
      <c r="J669" s="1"/>
    </row>
    <row r="670" spans="1:10">
      <c r="A670" s="35"/>
      <c r="B670" s="36"/>
      <c r="C670" s="1">
        <v>5</v>
      </c>
      <c r="D670" s="1">
        <v>118</v>
      </c>
      <c r="E670" s="1">
        <v>112</v>
      </c>
      <c r="F670" s="1" t="s">
        <v>8</v>
      </c>
      <c r="G670" s="1" t="s">
        <v>8</v>
      </c>
      <c r="H670" s="1" t="s">
        <v>8</v>
      </c>
      <c r="I670" s="1" t="s">
        <v>8</v>
      </c>
      <c r="J670" s="1"/>
    </row>
    <row r="671" spans="1:10">
      <c r="A671" s="35"/>
      <c r="B671" s="36"/>
      <c r="C671" s="7" t="s">
        <v>6</v>
      </c>
      <c r="D671" s="8">
        <f t="shared" ref="D671" si="201">IF(SUM(D666:D670)=0,"-",SUM(D666:D670))</f>
        <v>619</v>
      </c>
      <c r="E671" s="8">
        <f t="shared" ref="E671:I671" si="202">IF(SUM(E666:E670)=0,"-",SUM(E666:E670))</f>
        <v>665</v>
      </c>
      <c r="F671" s="8" t="str">
        <f t="shared" si="202"/>
        <v>-</v>
      </c>
      <c r="G671" s="8" t="str">
        <f t="shared" si="202"/>
        <v>-</v>
      </c>
      <c r="H671" s="8" t="str">
        <f t="shared" si="202"/>
        <v>-</v>
      </c>
      <c r="I671" s="8" t="str">
        <f t="shared" si="202"/>
        <v>-</v>
      </c>
      <c r="J671" s="8"/>
    </row>
    <row r="672" spans="1:10">
      <c r="A672" s="35"/>
      <c r="B672" s="36"/>
      <c r="C672" s="9" t="s">
        <v>7</v>
      </c>
      <c r="D672" s="10">
        <f>IF(D671="-","-",D671/MAX($C666:$C670))</f>
        <v>123.8</v>
      </c>
      <c r="E672" s="10">
        <f>IF(E671="-","-",E671/MAX($C666:$C670))</f>
        <v>133</v>
      </c>
      <c r="F672" s="10" t="str">
        <f>IF(F671="-","-",F671/ (MAX($C666:$C670)-2))</f>
        <v>-</v>
      </c>
      <c r="G672" s="10" t="str">
        <f>IF(G671="-","-",G671/MAX($C666:$C670))</f>
        <v>-</v>
      </c>
      <c r="H672" s="10" t="str">
        <f>IF(H671="-","-",H671/MAX($C666:$C670))</f>
        <v>-</v>
      </c>
      <c r="I672" s="10" t="str">
        <f>IF(I671="-","-",I671/MAX($C666:$C670))</f>
        <v>-</v>
      </c>
      <c r="J672" s="10"/>
    </row>
    <row r="673" spans="1:10">
      <c r="A673" s="34" t="s">
        <v>87</v>
      </c>
      <c r="B673" s="36">
        <v>45687</v>
      </c>
      <c r="C673" s="1">
        <v>1</v>
      </c>
      <c r="D673" s="1" t="s">
        <v>8</v>
      </c>
      <c r="E673" s="1">
        <v>158</v>
      </c>
      <c r="F673" s="1" t="s">
        <v>8</v>
      </c>
      <c r="G673" s="1" t="s">
        <v>8</v>
      </c>
      <c r="H673" s="1">
        <v>95</v>
      </c>
      <c r="I673" s="1">
        <v>129</v>
      </c>
      <c r="J673" s="1"/>
    </row>
    <row r="674" spans="1:10">
      <c r="A674" s="35"/>
      <c r="B674" s="36"/>
      <c r="C674" s="1">
        <v>2</v>
      </c>
      <c r="D674" s="1" t="s">
        <v>8</v>
      </c>
      <c r="E674" s="1">
        <v>161</v>
      </c>
      <c r="F674" s="1" t="s">
        <v>8</v>
      </c>
      <c r="G674" s="1" t="s">
        <v>8</v>
      </c>
      <c r="H674" s="1">
        <v>100</v>
      </c>
      <c r="I674" s="1">
        <v>102</v>
      </c>
      <c r="J674" s="1"/>
    </row>
    <row r="675" spans="1:10">
      <c r="A675" s="35"/>
      <c r="B675" s="36"/>
      <c r="C675" s="1">
        <v>3</v>
      </c>
      <c r="D675" s="1" t="s">
        <v>8</v>
      </c>
      <c r="E675" s="1">
        <v>134</v>
      </c>
      <c r="F675" s="1" t="s">
        <v>8</v>
      </c>
      <c r="G675" s="1" t="s">
        <v>8</v>
      </c>
      <c r="H675" s="1">
        <v>85</v>
      </c>
      <c r="I675" s="30">
        <v>95</v>
      </c>
      <c r="J675" s="30"/>
    </row>
    <row r="676" spans="1:10">
      <c r="A676" s="35"/>
      <c r="B676" s="36"/>
      <c r="C676" s="1">
        <v>4</v>
      </c>
      <c r="D676" s="1" t="s">
        <v>8</v>
      </c>
      <c r="E676" s="1">
        <v>158</v>
      </c>
      <c r="F676" s="1" t="s">
        <v>8</v>
      </c>
      <c r="G676" s="1" t="s">
        <v>8</v>
      </c>
      <c r="H676" s="1">
        <v>137</v>
      </c>
      <c r="I676" s="1">
        <v>101</v>
      </c>
      <c r="J676" s="1"/>
    </row>
    <row r="677" spans="1:10">
      <c r="A677" s="35"/>
      <c r="B677" s="36"/>
      <c r="C677" s="1">
        <v>5</v>
      </c>
      <c r="D677" s="1" t="s">
        <v>8</v>
      </c>
      <c r="E677" s="1">
        <v>152</v>
      </c>
      <c r="F677" s="1" t="s">
        <v>8</v>
      </c>
      <c r="G677" s="1" t="s">
        <v>8</v>
      </c>
      <c r="H677" s="1">
        <v>115</v>
      </c>
      <c r="I677" s="1">
        <v>94</v>
      </c>
      <c r="J677" s="1"/>
    </row>
    <row r="678" spans="1:10">
      <c r="A678" s="35"/>
      <c r="B678" s="36"/>
      <c r="C678" s="7" t="s">
        <v>6</v>
      </c>
      <c r="D678" s="8" t="str">
        <f t="shared" ref="D678" si="203">IF(SUM(D673:D677)=0,"-",SUM(D673:D677))</f>
        <v>-</v>
      </c>
      <c r="E678" s="8">
        <f t="shared" ref="E678:I678" si="204">IF(SUM(E673:E677)=0,"-",SUM(E673:E677))</f>
        <v>763</v>
      </c>
      <c r="F678" s="8" t="str">
        <f t="shared" si="204"/>
        <v>-</v>
      </c>
      <c r="G678" s="8" t="str">
        <f t="shared" si="204"/>
        <v>-</v>
      </c>
      <c r="H678" s="8">
        <f t="shared" si="204"/>
        <v>532</v>
      </c>
      <c r="I678" s="8">
        <f t="shared" si="204"/>
        <v>521</v>
      </c>
      <c r="J678" s="8"/>
    </row>
    <row r="679" spans="1:10">
      <c r="A679" s="35"/>
      <c r="B679" s="36"/>
      <c r="C679" s="9" t="s">
        <v>7</v>
      </c>
      <c r="D679" s="10" t="str">
        <f>IF(D678="-","-",D678/MAX($C673:$C677))</f>
        <v>-</v>
      </c>
      <c r="E679" s="10">
        <f>IF(E678="-","-",E678/MAX($C673:$C677))</f>
        <v>152.6</v>
      </c>
      <c r="F679" s="10" t="str">
        <f>IF(F678="-","-",F678/ (MAX($C673:$C677)-2))</f>
        <v>-</v>
      </c>
      <c r="G679" s="10" t="str">
        <f>IF(G678="-","-",G678/MAX($C673:$C677))</f>
        <v>-</v>
      </c>
      <c r="H679" s="10">
        <f>IF(H678="-","-",H678/MAX($C673:$C677))</f>
        <v>106.4</v>
      </c>
      <c r="I679" s="10">
        <f>IF(I678="-","-",I678/MAX($C673:$C677))</f>
        <v>104.2</v>
      </c>
      <c r="J679" s="10"/>
    </row>
    <row r="680" spans="1:10">
      <c r="A680" s="34" t="s">
        <v>88</v>
      </c>
      <c r="B680" s="36">
        <v>45725</v>
      </c>
      <c r="C680" s="1">
        <v>1</v>
      </c>
      <c r="D680" s="1">
        <v>105</v>
      </c>
      <c r="E680" s="1">
        <v>66</v>
      </c>
      <c r="F680" s="1" t="s">
        <v>8</v>
      </c>
      <c r="G680" s="1" t="s">
        <v>8</v>
      </c>
      <c r="H680" s="1">
        <v>59</v>
      </c>
      <c r="I680" s="1">
        <v>181</v>
      </c>
      <c r="J680" s="1"/>
    </row>
    <row r="681" spans="1:10">
      <c r="A681" s="35"/>
      <c r="B681" s="36"/>
      <c r="C681" s="1">
        <v>2</v>
      </c>
      <c r="D681" s="1">
        <v>124</v>
      </c>
      <c r="E681" s="1">
        <v>93</v>
      </c>
      <c r="F681" s="1" t="s">
        <v>8</v>
      </c>
      <c r="G681" s="1" t="s">
        <v>8</v>
      </c>
      <c r="H681" s="1">
        <v>84</v>
      </c>
      <c r="I681" s="1">
        <v>85</v>
      </c>
      <c r="J681" s="1"/>
    </row>
    <row r="682" spans="1:10">
      <c r="A682" s="35"/>
      <c r="B682" s="36"/>
      <c r="C682" s="1">
        <v>3</v>
      </c>
      <c r="D682" s="1">
        <v>108</v>
      </c>
      <c r="E682" s="1">
        <v>126</v>
      </c>
      <c r="F682" s="1" t="s">
        <v>8</v>
      </c>
      <c r="G682" s="1" t="s">
        <v>8</v>
      </c>
      <c r="H682" s="1">
        <v>68</v>
      </c>
      <c r="I682" s="30">
        <v>77</v>
      </c>
      <c r="J682" s="30"/>
    </row>
    <row r="683" spans="1:10">
      <c r="A683" s="35"/>
      <c r="B683" s="36"/>
      <c r="C683" s="1">
        <v>4</v>
      </c>
      <c r="D683" s="1">
        <v>111</v>
      </c>
      <c r="E683" s="1">
        <v>143</v>
      </c>
      <c r="F683" s="1" t="s">
        <v>8</v>
      </c>
      <c r="G683" s="1" t="s">
        <v>8</v>
      </c>
      <c r="H683" s="1">
        <v>87</v>
      </c>
      <c r="I683" s="1">
        <v>73</v>
      </c>
      <c r="J683" s="1"/>
    </row>
    <row r="684" spans="1:10">
      <c r="A684" s="35"/>
      <c r="B684" s="36"/>
      <c r="C684" s="1">
        <v>5</v>
      </c>
      <c r="D684" s="1">
        <v>101</v>
      </c>
      <c r="E684" s="1">
        <v>131</v>
      </c>
      <c r="F684" s="1" t="s">
        <v>8</v>
      </c>
      <c r="G684" s="1" t="s">
        <v>8</v>
      </c>
      <c r="H684" s="1">
        <v>65</v>
      </c>
      <c r="I684" s="1">
        <v>110</v>
      </c>
      <c r="J684" s="1"/>
    </row>
    <row r="685" spans="1:10">
      <c r="A685" s="35"/>
      <c r="B685" s="36"/>
      <c r="C685" s="7" t="s">
        <v>6</v>
      </c>
      <c r="D685" s="8">
        <f t="shared" ref="D685" si="205">IF(SUM(D680:D684)=0,"-",SUM(D680:D684))</f>
        <v>549</v>
      </c>
      <c r="E685" s="8">
        <f t="shared" ref="E685:I685" si="206">IF(SUM(E680:E684)=0,"-",SUM(E680:E684))</f>
        <v>559</v>
      </c>
      <c r="F685" s="8" t="str">
        <f t="shared" si="206"/>
        <v>-</v>
      </c>
      <c r="G685" s="8" t="str">
        <f t="shared" si="206"/>
        <v>-</v>
      </c>
      <c r="H685" s="8">
        <f t="shared" si="206"/>
        <v>363</v>
      </c>
      <c r="I685" s="8">
        <f t="shared" si="206"/>
        <v>526</v>
      </c>
      <c r="J685" s="8"/>
    </row>
    <row r="686" spans="1:10">
      <c r="A686" s="35"/>
      <c r="B686" s="36"/>
      <c r="C686" s="9" t="s">
        <v>7</v>
      </c>
      <c r="D686" s="10">
        <f>IF(D685="-","-",D685/MAX($C680:$C684))</f>
        <v>109.8</v>
      </c>
      <c r="E686" s="10">
        <f>IF(E685="-","-",E685/MAX($C680:$C684))</f>
        <v>111.8</v>
      </c>
      <c r="F686" s="10" t="str">
        <f>IF(F685="-","-",F685/ (MAX($C680:$C684)-2))</f>
        <v>-</v>
      </c>
      <c r="G686" s="10" t="str">
        <f>IF(G685="-","-",G685/MAX($C680:$C684))</f>
        <v>-</v>
      </c>
      <c r="H686" s="10">
        <f>IF(H685="-","-",H685/MAX($C680:$C684))</f>
        <v>72.599999999999994</v>
      </c>
      <c r="I686" s="10">
        <f>IF(I685="-","-",I685/MAX($C680:$C684))</f>
        <v>105.2</v>
      </c>
      <c r="J686" s="10"/>
    </row>
    <row r="687" spans="1:10">
      <c r="A687" s="34" t="s">
        <v>89</v>
      </c>
      <c r="B687" s="36">
        <v>45751</v>
      </c>
      <c r="C687" s="1">
        <v>1</v>
      </c>
      <c r="D687" s="1">
        <v>84</v>
      </c>
      <c r="E687" s="1" t="s">
        <v>8</v>
      </c>
      <c r="F687" s="1" t="s">
        <v>8</v>
      </c>
      <c r="G687" s="1" t="s">
        <v>8</v>
      </c>
      <c r="H687" s="1">
        <v>78</v>
      </c>
      <c r="I687" s="1" t="s">
        <v>8</v>
      </c>
      <c r="J687" s="1"/>
    </row>
    <row r="688" spans="1:10">
      <c r="A688" s="35"/>
      <c r="B688" s="36"/>
      <c r="C688" s="1">
        <v>2</v>
      </c>
      <c r="D688" s="1">
        <v>123</v>
      </c>
      <c r="E688" s="1" t="s">
        <v>8</v>
      </c>
      <c r="F688" s="1" t="s">
        <v>8</v>
      </c>
      <c r="G688" s="1" t="s">
        <v>8</v>
      </c>
      <c r="H688" s="1">
        <v>102</v>
      </c>
      <c r="I688" s="1" t="s">
        <v>8</v>
      </c>
      <c r="J688" s="1"/>
    </row>
    <row r="689" spans="1:10">
      <c r="A689" s="35"/>
      <c r="B689" s="36"/>
      <c r="C689" s="1">
        <v>3</v>
      </c>
      <c r="D689" s="1">
        <v>101</v>
      </c>
      <c r="E689" s="1" t="s">
        <v>8</v>
      </c>
      <c r="F689" s="1" t="s">
        <v>8</v>
      </c>
      <c r="G689" s="1" t="s">
        <v>8</v>
      </c>
      <c r="H689" s="1">
        <v>114</v>
      </c>
      <c r="I689" s="1" t="s">
        <v>8</v>
      </c>
      <c r="J689" s="1"/>
    </row>
    <row r="690" spans="1:10">
      <c r="A690" s="35"/>
      <c r="B690" s="36"/>
      <c r="C690" s="1">
        <v>4</v>
      </c>
      <c r="D690" s="1">
        <v>126</v>
      </c>
      <c r="E690" s="1" t="s">
        <v>8</v>
      </c>
      <c r="F690" s="1" t="s">
        <v>8</v>
      </c>
      <c r="G690" s="1" t="s">
        <v>8</v>
      </c>
      <c r="H690" s="1">
        <v>113</v>
      </c>
      <c r="I690" s="1" t="s">
        <v>8</v>
      </c>
      <c r="J690" s="1"/>
    </row>
    <row r="691" spans="1:10">
      <c r="A691" s="35"/>
      <c r="B691" s="36"/>
      <c r="C691" s="1">
        <v>5</v>
      </c>
      <c r="D691" s="1">
        <v>124</v>
      </c>
      <c r="E691" s="1" t="s">
        <v>8</v>
      </c>
      <c r="F691" s="1" t="s">
        <v>8</v>
      </c>
      <c r="G691" s="1" t="s">
        <v>8</v>
      </c>
      <c r="H691" s="1">
        <v>112</v>
      </c>
      <c r="I691" s="1" t="s">
        <v>8</v>
      </c>
      <c r="J691" s="1"/>
    </row>
    <row r="692" spans="1:10">
      <c r="A692" s="35"/>
      <c r="B692" s="36"/>
      <c r="C692" s="7" t="s">
        <v>6</v>
      </c>
      <c r="D692" s="8">
        <f t="shared" ref="D692" si="207">IF(SUM(D687:D691)=0,"-",SUM(D687:D691))</f>
        <v>558</v>
      </c>
      <c r="E692" s="8" t="str">
        <f t="shared" ref="E692:I692" si="208">IF(SUM(E687:E691)=0,"-",SUM(E687:E691))</f>
        <v>-</v>
      </c>
      <c r="F692" s="8" t="str">
        <f t="shared" si="208"/>
        <v>-</v>
      </c>
      <c r="G692" s="8" t="str">
        <f t="shared" si="208"/>
        <v>-</v>
      </c>
      <c r="H692" s="8">
        <f t="shared" si="208"/>
        <v>519</v>
      </c>
      <c r="I692" s="8" t="str">
        <f t="shared" si="208"/>
        <v>-</v>
      </c>
      <c r="J692" s="8"/>
    </row>
    <row r="693" spans="1:10">
      <c r="A693" s="35"/>
      <c r="B693" s="36"/>
      <c r="C693" s="9" t="s">
        <v>7</v>
      </c>
      <c r="D693" s="10">
        <f>IF(D692="-","-",D692/MAX($C687:$C691))</f>
        <v>111.6</v>
      </c>
      <c r="E693" s="10" t="str">
        <f>IF(E692="-","-",E692/MAX($C687:$C691))</f>
        <v>-</v>
      </c>
      <c r="F693" s="10" t="str">
        <f>IF(F692="-","-",F692/ (MAX($C687:$C691)-2))</f>
        <v>-</v>
      </c>
      <c r="G693" s="10" t="str">
        <f>IF(G692="-","-",G692/MAX($C687:$C691))</f>
        <v>-</v>
      </c>
      <c r="H693" s="10">
        <f>IF(H692="-","-",H692/MAX($C687:$C691))</f>
        <v>103.8</v>
      </c>
      <c r="I693" s="10" t="str">
        <f>IF(I692="-","-",I692/MAX($C687:$C691))</f>
        <v>-</v>
      </c>
      <c r="J693" s="10"/>
    </row>
    <row r="694" spans="1:10">
      <c r="A694" s="34" t="s">
        <v>90</v>
      </c>
      <c r="B694" s="36">
        <v>45767</v>
      </c>
      <c r="C694" s="1">
        <v>1</v>
      </c>
      <c r="D694" s="1">
        <v>141</v>
      </c>
      <c r="E694" s="1" t="s">
        <v>8</v>
      </c>
      <c r="F694" s="1" t="s">
        <v>8</v>
      </c>
      <c r="G694" s="1" t="s">
        <v>8</v>
      </c>
      <c r="H694" s="1">
        <v>81</v>
      </c>
      <c r="I694" s="1" t="s">
        <v>8</v>
      </c>
      <c r="J694" s="1"/>
    </row>
    <row r="695" spans="1:10">
      <c r="A695" s="35"/>
      <c r="B695" s="36"/>
      <c r="C695" s="1">
        <v>2</v>
      </c>
      <c r="D695" s="1">
        <v>160</v>
      </c>
      <c r="E695" s="1" t="s">
        <v>8</v>
      </c>
      <c r="F695" s="1" t="s">
        <v>8</v>
      </c>
      <c r="G695" s="1" t="s">
        <v>8</v>
      </c>
      <c r="H695" s="1">
        <v>76</v>
      </c>
      <c r="I695" s="1" t="s">
        <v>8</v>
      </c>
      <c r="J695" s="1"/>
    </row>
    <row r="696" spans="1:10">
      <c r="A696" s="35"/>
      <c r="B696" s="36"/>
      <c r="C696" s="1">
        <v>3</v>
      </c>
      <c r="D696" s="1">
        <v>97</v>
      </c>
      <c r="E696" s="1" t="s">
        <v>8</v>
      </c>
      <c r="F696" s="1" t="s">
        <v>8</v>
      </c>
      <c r="G696" s="1" t="s">
        <v>8</v>
      </c>
      <c r="H696" s="1">
        <v>100</v>
      </c>
      <c r="I696" s="1" t="s">
        <v>8</v>
      </c>
      <c r="J696" s="1"/>
    </row>
    <row r="697" spans="1:10">
      <c r="A697" s="35"/>
      <c r="B697" s="36"/>
      <c r="C697" s="1">
        <v>4</v>
      </c>
      <c r="D697" s="1">
        <v>101</v>
      </c>
      <c r="E697" s="1" t="s">
        <v>8</v>
      </c>
      <c r="F697" s="1" t="s">
        <v>8</v>
      </c>
      <c r="G697" s="1" t="s">
        <v>8</v>
      </c>
      <c r="H697" s="1">
        <v>104</v>
      </c>
      <c r="I697" s="1" t="s">
        <v>8</v>
      </c>
      <c r="J697" s="1"/>
    </row>
    <row r="698" spans="1:10">
      <c r="A698" s="35"/>
      <c r="B698" s="36"/>
      <c r="C698" s="1">
        <v>5</v>
      </c>
      <c r="D698" s="1">
        <v>117</v>
      </c>
      <c r="E698" s="1" t="s">
        <v>8</v>
      </c>
      <c r="F698" s="1" t="s">
        <v>8</v>
      </c>
      <c r="G698" s="1" t="s">
        <v>8</v>
      </c>
      <c r="H698" s="1">
        <v>129</v>
      </c>
      <c r="I698" s="1" t="s">
        <v>8</v>
      </c>
      <c r="J698" s="1"/>
    </row>
    <row r="699" spans="1:10">
      <c r="A699" s="35"/>
      <c r="B699" s="36"/>
      <c r="C699" s="7" t="s">
        <v>6</v>
      </c>
      <c r="D699" s="8">
        <f t="shared" ref="D699" si="209">IF(SUM(D694:D698)=0,"-",SUM(D694:D698))</f>
        <v>616</v>
      </c>
      <c r="E699" s="8" t="str">
        <f t="shared" ref="E699:I699" si="210">IF(SUM(E694:E698)=0,"-",SUM(E694:E698))</f>
        <v>-</v>
      </c>
      <c r="F699" s="8" t="str">
        <f t="shared" si="210"/>
        <v>-</v>
      </c>
      <c r="G699" s="8" t="str">
        <f t="shared" si="210"/>
        <v>-</v>
      </c>
      <c r="H699" s="8">
        <f t="shared" si="210"/>
        <v>490</v>
      </c>
      <c r="I699" s="8" t="str">
        <f t="shared" si="210"/>
        <v>-</v>
      </c>
      <c r="J699" s="8"/>
    </row>
    <row r="700" spans="1:10">
      <c r="A700" s="35"/>
      <c r="B700" s="36"/>
      <c r="C700" s="9" t="s">
        <v>7</v>
      </c>
      <c r="D700" s="10">
        <f>IF(D699="-","-",D699/MAX($C694:$C698))</f>
        <v>123.2</v>
      </c>
      <c r="E700" s="10" t="str">
        <f>IF(E699="-","-",E699/MAX($C694:$C698))</f>
        <v>-</v>
      </c>
      <c r="F700" s="10" t="str">
        <f>IF(F699="-","-",F699/ (MAX($C694:$C698)-2))</f>
        <v>-</v>
      </c>
      <c r="G700" s="10" t="str">
        <f>IF(G699="-","-",G699/MAX($C694:$C698))</f>
        <v>-</v>
      </c>
      <c r="H700" s="10">
        <f>IF(H699="-","-",H699/MAX($C694:$C698))</f>
        <v>98</v>
      </c>
      <c r="I700" s="10" t="str">
        <f>IF(I699="-","-",I699/MAX($C694:$C698))</f>
        <v>-</v>
      </c>
      <c r="J700" s="10"/>
    </row>
    <row r="701" spans="1:10">
      <c r="A701" s="34" t="s">
        <v>92</v>
      </c>
      <c r="B701" s="36">
        <v>45781</v>
      </c>
      <c r="C701" s="1">
        <v>1</v>
      </c>
      <c r="D701" s="1">
        <v>80</v>
      </c>
      <c r="E701" s="1">
        <v>101</v>
      </c>
      <c r="F701" s="1" t="s">
        <v>8</v>
      </c>
      <c r="G701" s="1" t="s">
        <v>8</v>
      </c>
      <c r="H701" s="1">
        <v>137</v>
      </c>
      <c r="I701" s="1">
        <v>103</v>
      </c>
      <c r="J701" s="1" t="s">
        <v>8</v>
      </c>
    </row>
    <row r="702" spans="1:10">
      <c r="A702" s="35"/>
      <c r="B702" s="36"/>
      <c r="C702" s="1">
        <v>2</v>
      </c>
      <c r="D702" s="1">
        <v>158</v>
      </c>
      <c r="E702" s="1">
        <v>122</v>
      </c>
      <c r="F702" s="1" t="s">
        <v>8</v>
      </c>
      <c r="G702" s="1" t="s">
        <v>8</v>
      </c>
      <c r="H702" s="1">
        <v>124</v>
      </c>
      <c r="I702" s="1">
        <v>58</v>
      </c>
      <c r="J702" s="1" t="s">
        <v>8</v>
      </c>
    </row>
    <row r="703" spans="1:10">
      <c r="A703" s="35"/>
      <c r="B703" s="36"/>
      <c r="C703" s="1">
        <v>3</v>
      </c>
      <c r="D703" s="1">
        <v>118</v>
      </c>
      <c r="E703" s="1">
        <v>146</v>
      </c>
      <c r="F703" s="1" t="s">
        <v>8</v>
      </c>
      <c r="G703" s="1" t="s">
        <v>8</v>
      </c>
      <c r="H703" s="1">
        <v>102</v>
      </c>
      <c r="I703" s="1">
        <v>77</v>
      </c>
      <c r="J703" s="1" t="s">
        <v>8</v>
      </c>
    </row>
    <row r="704" spans="1:10">
      <c r="A704" s="35"/>
      <c r="B704" s="36"/>
      <c r="C704" s="1">
        <v>4</v>
      </c>
      <c r="D704" s="1">
        <v>144</v>
      </c>
      <c r="E704" s="1">
        <v>128</v>
      </c>
      <c r="F704" s="1" t="s">
        <v>8</v>
      </c>
      <c r="G704" s="1" t="s">
        <v>8</v>
      </c>
      <c r="H704" s="1">
        <v>96</v>
      </c>
      <c r="I704" s="1">
        <v>76</v>
      </c>
      <c r="J704" s="1" t="s">
        <v>8</v>
      </c>
    </row>
    <row r="705" spans="1:10">
      <c r="A705" s="35"/>
      <c r="B705" s="36"/>
      <c r="C705" s="1">
        <v>5</v>
      </c>
      <c r="D705" s="1">
        <v>110</v>
      </c>
      <c r="E705" s="1">
        <v>129</v>
      </c>
      <c r="F705" s="1" t="s">
        <v>8</v>
      </c>
      <c r="G705" s="1" t="s">
        <v>8</v>
      </c>
      <c r="H705" s="1">
        <v>96</v>
      </c>
      <c r="I705" s="1">
        <v>96</v>
      </c>
      <c r="J705" s="1" t="s">
        <v>8</v>
      </c>
    </row>
    <row r="706" spans="1:10">
      <c r="A706" s="35"/>
      <c r="B706" s="36"/>
      <c r="C706" s="7" t="s">
        <v>6</v>
      </c>
      <c r="D706" s="8">
        <f t="shared" ref="D706" si="211">IF(SUM(D701:D705)=0,"-",SUM(D701:D705))</f>
        <v>610</v>
      </c>
      <c r="E706" s="8">
        <f t="shared" ref="E706:J706" si="212">IF(SUM(E701:E705)=0,"-",SUM(E701:E705))</f>
        <v>626</v>
      </c>
      <c r="F706" s="8" t="str">
        <f t="shared" si="212"/>
        <v>-</v>
      </c>
      <c r="G706" s="8" t="str">
        <f t="shared" si="212"/>
        <v>-</v>
      </c>
      <c r="H706" s="8">
        <f t="shared" si="212"/>
        <v>555</v>
      </c>
      <c r="I706" s="8">
        <f t="shared" si="212"/>
        <v>410</v>
      </c>
      <c r="J706" s="8" t="str">
        <f t="shared" si="212"/>
        <v>-</v>
      </c>
    </row>
    <row r="707" spans="1:10">
      <c r="A707" s="35"/>
      <c r="B707" s="36"/>
      <c r="C707" s="9" t="s">
        <v>7</v>
      </c>
      <c r="D707" s="10">
        <f>IF(D706="-","-",D706/MAX($C701:$C705))</f>
        <v>122</v>
      </c>
      <c r="E707" s="10">
        <f>IF(E706="-","-",E706/MAX($C701:$C705))</f>
        <v>125.2</v>
      </c>
      <c r="F707" s="10" t="str">
        <f>IF(F706="-","-",F706/ (MAX($C701:$C705)-2))</f>
        <v>-</v>
      </c>
      <c r="G707" s="10" t="str">
        <f>IF(G706="-","-",G706/MAX($C701:$C705))</f>
        <v>-</v>
      </c>
      <c r="H707" s="10">
        <f>IF(H706="-","-",H706/MAX($C701:$C705))</f>
        <v>111</v>
      </c>
      <c r="I707" s="10">
        <f>IF(I706="-","-",I706/MAX($C701:$C705))</f>
        <v>82</v>
      </c>
      <c r="J707" s="10"/>
    </row>
    <row r="708" spans="1:10">
      <c r="A708" s="34" t="s">
        <v>93</v>
      </c>
      <c r="B708" s="36">
        <v>45802</v>
      </c>
      <c r="C708" s="1">
        <v>1</v>
      </c>
      <c r="D708" s="1">
        <v>112</v>
      </c>
      <c r="E708" s="1">
        <v>138</v>
      </c>
      <c r="F708" s="1" t="s">
        <v>8</v>
      </c>
      <c r="G708" s="1" t="s">
        <v>8</v>
      </c>
      <c r="H708" s="1">
        <v>90</v>
      </c>
      <c r="I708" s="1">
        <v>150</v>
      </c>
      <c r="J708" s="1">
        <v>82</v>
      </c>
    </row>
    <row r="709" spans="1:10">
      <c r="A709" s="35"/>
      <c r="B709" s="36"/>
      <c r="C709" s="1">
        <v>2</v>
      </c>
      <c r="D709" s="1">
        <v>119</v>
      </c>
      <c r="E709" s="1">
        <v>104</v>
      </c>
      <c r="F709" s="1" t="s">
        <v>8</v>
      </c>
      <c r="G709" s="1" t="s">
        <v>8</v>
      </c>
      <c r="H709" s="1">
        <v>103</v>
      </c>
      <c r="I709" s="1">
        <v>107</v>
      </c>
      <c r="J709" s="1">
        <v>114</v>
      </c>
    </row>
    <row r="710" spans="1:10">
      <c r="A710" s="35"/>
      <c r="B710" s="36"/>
      <c r="C710" s="1">
        <v>3</v>
      </c>
      <c r="D710" s="1">
        <v>119</v>
      </c>
      <c r="E710" s="1">
        <v>133</v>
      </c>
      <c r="F710" s="1" t="s">
        <v>8</v>
      </c>
      <c r="G710" s="1" t="s">
        <v>8</v>
      </c>
      <c r="H710" s="1">
        <v>90</v>
      </c>
      <c r="I710" s="1">
        <v>112</v>
      </c>
      <c r="J710" s="1">
        <v>122</v>
      </c>
    </row>
    <row r="711" spans="1:10">
      <c r="A711" s="35"/>
      <c r="B711" s="36"/>
      <c r="C711" s="1">
        <v>4</v>
      </c>
      <c r="D711" s="1">
        <v>111</v>
      </c>
      <c r="E711" s="1">
        <v>92</v>
      </c>
      <c r="F711" s="1" t="s">
        <v>8</v>
      </c>
      <c r="G711" s="1" t="s">
        <v>8</v>
      </c>
      <c r="H711" s="1">
        <v>113</v>
      </c>
      <c r="I711" s="1">
        <v>111</v>
      </c>
      <c r="J711" s="1">
        <v>127</v>
      </c>
    </row>
    <row r="712" spans="1:10">
      <c r="A712" s="35"/>
      <c r="B712" s="36"/>
      <c r="C712" s="1">
        <v>5</v>
      </c>
      <c r="D712" s="1">
        <v>106</v>
      </c>
      <c r="E712" s="1">
        <v>138</v>
      </c>
      <c r="F712" s="1" t="s">
        <v>8</v>
      </c>
      <c r="G712" s="1" t="s">
        <v>8</v>
      </c>
      <c r="H712" s="1">
        <v>146</v>
      </c>
      <c r="I712" s="1">
        <v>135</v>
      </c>
      <c r="J712" s="1">
        <v>121</v>
      </c>
    </row>
    <row r="713" spans="1:10">
      <c r="A713" s="35"/>
      <c r="B713" s="36"/>
      <c r="C713" s="7" t="s">
        <v>6</v>
      </c>
      <c r="D713" s="8">
        <f t="shared" ref="D713" si="213">IF(SUM(D708:D712)=0,"-",SUM(D708:D712))</f>
        <v>567</v>
      </c>
      <c r="E713" s="8">
        <f t="shared" ref="E713:J713" si="214">IF(SUM(E708:E712)=0,"-",SUM(E708:E712))</f>
        <v>605</v>
      </c>
      <c r="F713" s="8" t="str">
        <f t="shared" si="214"/>
        <v>-</v>
      </c>
      <c r="G713" s="8" t="str">
        <f t="shared" si="214"/>
        <v>-</v>
      </c>
      <c r="H713" s="8">
        <f t="shared" si="214"/>
        <v>542</v>
      </c>
      <c r="I713" s="8">
        <f t="shared" si="214"/>
        <v>615</v>
      </c>
      <c r="J713" s="8">
        <f t="shared" si="214"/>
        <v>566</v>
      </c>
    </row>
    <row r="714" spans="1:10">
      <c r="A714" s="35"/>
      <c r="B714" s="36"/>
      <c r="C714" s="9" t="s">
        <v>7</v>
      </c>
      <c r="D714" s="10">
        <f>IF(D713="-","-",D713/MAX($C708:$C712))</f>
        <v>113.4</v>
      </c>
      <c r="E714" s="10">
        <f>IF(E713="-","-",E713/MAX($C708:$C712))</f>
        <v>121</v>
      </c>
      <c r="F714" s="10" t="str">
        <f>IF(F713="-","-",F713/ (MAX($C708:$C712)-2))</f>
        <v>-</v>
      </c>
      <c r="G714" s="10" t="str">
        <f>IF(G713="-","-",G713/MAX($C708:$C712))</f>
        <v>-</v>
      </c>
      <c r="H714" s="10">
        <f>IF(H713="-","-",H713/MAX($C708:$C712))</f>
        <v>108.4</v>
      </c>
      <c r="I714" s="10">
        <f>IF(I713="-","-",I713/MAX($C708:$C712))</f>
        <v>123</v>
      </c>
      <c r="J714" s="10">
        <f>IF(J713="-","-",J713/MAX($C708:$C712))</f>
        <v>113.2</v>
      </c>
    </row>
    <row r="715" spans="1:10">
      <c r="A715" s="34" t="s">
        <v>94</v>
      </c>
      <c r="B715" s="36">
        <v>45823</v>
      </c>
      <c r="C715" s="1">
        <v>1</v>
      </c>
      <c r="D715" s="1">
        <v>95</v>
      </c>
      <c r="E715" s="1">
        <v>84</v>
      </c>
      <c r="F715" s="1" t="s">
        <v>8</v>
      </c>
      <c r="G715" s="1" t="s">
        <v>8</v>
      </c>
      <c r="H715" s="1">
        <v>100</v>
      </c>
      <c r="I715" s="1">
        <v>85</v>
      </c>
      <c r="J715" s="1" t="s">
        <v>8</v>
      </c>
    </row>
    <row r="716" spans="1:10">
      <c r="A716" s="35"/>
      <c r="B716" s="36"/>
      <c r="C716" s="1">
        <v>2</v>
      </c>
      <c r="D716" s="1">
        <v>153</v>
      </c>
      <c r="E716" s="1">
        <v>126</v>
      </c>
      <c r="F716" s="1" t="s">
        <v>8</v>
      </c>
      <c r="G716" s="1" t="s">
        <v>8</v>
      </c>
      <c r="H716" s="1">
        <v>135</v>
      </c>
      <c r="I716" s="1">
        <v>111</v>
      </c>
      <c r="J716" s="1" t="s">
        <v>8</v>
      </c>
    </row>
    <row r="717" spans="1:10">
      <c r="A717" s="35"/>
      <c r="B717" s="36"/>
      <c r="C717" s="1">
        <v>3</v>
      </c>
      <c r="D717" s="1">
        <v>181</v>
      </c>
      <c r="E717" s="1">
        <v>157</v>
      </c>
      <c r="F717" s="1" t="s">
        <v>8</v>
      </c>
      <c r="G717" s="1" t="s">
        <v>8</v>
      </c>
      <c r="H717" s="1">
        <v>105</v>
      </c>
      <c r="I717" s="1">
        <v>88</v>
      </c>
      <c r="J717" s="1" t="s">
        <v>8</v>
      </c>
    </row>
    <row r="718" spans="1:10">
      <c r="A718" s="35"/>
      <c r="B718" s="36"/>
      <c r="C718" s="1">
        <v>4</v>
      </c>
      <c r="D718" s="1">
        <v>132</v>
      </c>
      <c r="E718" s="1">
        <v>122</v>
      </c>
      <c r="F718" s="1" t="s">
        <v>8</v>
      </c>
      <c r="G718" s="1" t="s">
        <v>8</v>
      </c>
      <c r="H718" s="1">
        <v>108</v>
      </c>
      <c r="I718" s="1">
        <v>120</v>
      </c>
      <c r="J718" s="1" t="s">
        <v>8</v>
      </c>
    </row>
    <row r="719" spans="1:10">
      <c r="A719" s="35"/>
      <c r="B719" s="36"/>
      <c r="C719" s="1">
        <v>5</v>
      </c>
      <c r="D719" s="1">
        <v>108</v>
      </c>
      <c r="E719" s="1">
        <v>152</v>
      </c>
      <c r="F719" s="1" t="s">
        <v>8</v>
      </c>
      <c r="G719" s="1" t="s">
        <v>8</v>
      </c>
      <c r="H719" s="1">
        <v>98</v>
      </c>
      <c r="I719" s="1">
        <v>138</v>
      </c>
      <c r="J719" s="1" t="s">
        <v>8</v>
      </c>
    </row>
    <row r="720" spans="1:10">
      <c r="A720" s="35"/>
      <c r="B720" s="36"/>
      <c r="C720" s="7" t="s">
        <v>6</v>
      </c>
      <c r="D720" s="8">
        <f t="shared" ref="D720" si="215">IF(SUM(D715:D719)=0,"-",SUM(D715:D719))</f>
        <v>669</v>
      </c>
      <c r="E720" s="8">
        <f t="shared" ref="E720:J720" si="216">IF(SUM(E715:E719)=0,"-",SUM(E715:E719))</f>
        <v>641</v>
      </c>
      <c r="F720" s="8" t="str">
        <f t="shared" si="216"/>
        <v>-</v>
      </c>
      <c r="G720" s="8" t="str">
        <f t="shared" si="216"/>
        <v>-</v>
      </c>
      <c r="H720" s="8">
        <f t="shared" si="216"/>
        <v>546</v>
      </c>
      <c r="I720" s="8">
        <f t="shared" si="216"/>
        <v>542</v>
      </c>
      <c r="J720" s="8" t="str">
        <f t="shared" si="216"/>
        <v>-</v>
      </c>
    </row>
    <row r="721" spans="1:10">
      <c r="A721" s="35"/>
      <c r="B721" s="36"/>
      <c r="C721" s="9" t="s">
        <v>7</v>
      </c>
      <c r="D721" s="10">
        <f>IF(D720="-","-",D720/MAX($C715:$C719))</f>
        <v>133.80000000000001</v>
      </c>
      <c r="E721" s="10">
        <f>IF(E720="-","-",E720/MAX($C715:$C719))</f>
        <v>128.19999999999999</v>
      </c>
      <c r="F721" s="10" t="str">
        <f>IF(F720="-","-",F720/ (MAX($C715:$C719)-2))</f>
        <v>-</v>
      </c>
      <c r="G721" s="10" t="str">
        <f>IF(G720="-","-",G720/MAX($C715:$C719))</f>
        <v>-</v>
      </c>
      <c r="H721" s="10">
        <f>IF(H720="-","-",H720/MAX($C715:$C719))</f>
        <v>109.2</v>
      </c>
      <c r="I721" s="10">
        <f>IF(I720="-","-",I720/MAX($C715:$C719))</f>
        <v>108.4</v>
      </c>
      <c r="J721" s="10"/>
    </row>
    <row r="722" spans="1:10">
      <c r="A722" s="34" t="s">
        <v>95</v>
      </c>
      <c r="B722" s="36">
        <v>45879</v>
      </c>
      <c r="C722" s="1">
        <v>1</v>
      </c>
      <c r="D722" s="1">
        <v>110</v>
      </c>
      <c r="E722" s="1">
        <v>145</v>
      </c>
      <c r="F722" s="1" t="s">
        <v>8</v>
      </c>
      <c r="G722" s="1" t="s">
        <v>8</v>
      </c>
      <c r="H722" s="1">
        <v>135</v>
      </c>
      <c r="I722" s="1">
        <v>117</v>
      </c>
      <c r="J722" s="1" t="s">
        <v>8</v>
      </c>
    </row>
    <row r="723" spans="1:10">
      <c r="A723" s="35"/>
      <c r="B723" s="36"/>
      <c r="C723" s="1">
        <v>2</v>
      </c>
      <c r="D723" s="1">
        <v>106</v>
      </c>
      <c r="E723" s="1">
        <v>123</v>
      </c>
      <c r="F723" s="1" t="s">
        <v>8</v>
      </c>
      <c r="G723" s="1" t="s">
        <v>8</v>
      </c>
      <c r="H723" s="1">
        <v>138</v>
      </c>
      <c r="I723" s="1">
        <v>84</v>
      </c>
      <c r="J723" s="1" t="s">
        <v>8</v>
      </c>
    </row>
    <row r="724" spans="1:10">
      <c r="A724" s="35"/>
      <c r="B724" s="36"/>
      <c r="C724" s="1">
        <v>3</v>
      </c>
      <c r="D724" s="1">
        <v>151</v>
      </c>
      <c r="E724" s="1">
        <v>113</v>
      </c>
      <c r="F724" s="1" t="s">
        <v>8</v>
      </c>
      <c r="G724" s="1" t="s">
        <v>8</v>
      </c>
      <c r="H724" s="1">
        <v>110</v>
      </c>
      <c r="I724" s="1">
        <v>115</v>
      </c>
      <c r="J724" s="1" t="s">
        <v>8</v>
      </c>
    </row>
    <row r="725" spans="1:10">
      <c r="A725" s="35"/>
      <c r="B725" s="36"/>
      <c r="C725" s="1">
        <v>4</v>
      </c>
      <c r="D725" s="1">
        <v>93</v>
      </c>
      <c r="E725" s="1">
        <v>128</v>
      </c>
      <c r="F725" s="1" t="s">
        <v>8</v>
      </c>
      <c r="G725" s="1" t="s">
        <v>8</v>
      </c>
      <c r="H725" s="1">
        <v>100</v>
      </c>
      <c r="I725" s="1">
        <v>114</v>
      </c>
      <c r="J725" s="1" t="s">
        <v>8</v>
      </c>
    </row>
    <row r="726" spans="1:10">
      <c r="A726" s="35"/>
      <c r="B726" s="36"/>
      <c r="C726" s="1">
        <v>5</v>
      </c>
      <c r="D726" s="1">
        <v>111</v>
      </c>
      <c r="E726" s="1">
        <v>98</v>
      </c>
      <c r="F726" s="1" t="s">
        <v>8</v>
      </c>
      <c r="G726" s="1" t="s">
        <v>8</v>
      </c>
      <c r="H726" s="1">
        <v>118</v>
      </c>
      <c r="I726" s="1">
        <v>89</v>
      </c>
      <c r="J726" s="1" t="s">
        <v>8</v>
      </c>
    </row>
    <row r="727" spans="1:10">
      <c r="A727" s="35"/>
      <c r="B727" s="36"/>
      <c r="C727" s="7" t="s">
        <v>6</v>
      </c>
      <c r="D727" s="8">
        <f t="shared" ref="D727" si="217">IF(SUM(D722:D726)=0,"-",SUM(D722:D726))</f>
        <v>571</v>
      </c>
      <c r="E727" s="8">
        <f t="shared" ref="E727:J727" si="218">IF(SUM(E722:E726)=0,"-",SUM(E722:E726))</f>
        <v>607</v>
      </c>
      <c r="F727" s="8" t="str">
        <f t="shared" si="218"/>
        <v>-</v>
      </c>
      <c r="G727" s="8" t="str">
        <f t="shared" si="218"/>
        <v>-</v>
      </c>
      <c r="H727" s="8">
        <f t="shared" si="218"/>
        <v>601</v>
      </c>
      <c r="I727" s="8">
        <f t="shared" si="218"/>
        <v>519</v>
      </c>
      <c r="J727" s="8" t="str">
        <f t="shared" si="218"/>
        <v>-</v>
      </c>
    </row>
    <row r="728" spans="1:10">
      <c r="A728" s="35"/>
      <c r="B728" s="36"/>
      <c r="C728" s="9" t="s">
        <v>7</v>
      </c>
      <c r="D728" s="10">
        <f>IF(D727="-","-",D727/MAX($C722:$C726))</f>
        <v>114.2</v>
      </c>
      <c r="E728" s="10">
        <f>IF(E727="-","-",E727/MAX($C722:$C726))</f>
        <v>121.4</v>
      </c>
      <c r="F728" s="10" t="str">
        <f>IF(F727="-","-",F727/ (MAX($C722:$C726)-2))</f>
        <v>-</v>
      </c>
      <c r="G728" s="10" t="str">
        <f>IF(G727="-","-",G727/MAX($C722:$C726))</f>
        <v>-</v>
      </c>
      <c r="H728" s="10">
        <f>IF(H727="-","-",H727/MAX($C722:$C726))</f>
        <v>120.2</v>
      </c>
      <c r="I728" s="10">
        <f>IF(I727="-","-",I727/MAX($C722:$C726))</f>
        <v>103.8</v>
      </c>
      <c r="J728" s="10" t="str">
        <f>IF(J727="-","-",J727/MAX($C722:$C726))</f>
        <v>-</v>
      </c>
    </row>
    <row r="729" spans="1:10">
      <c r="A729" s="34" t="s">
        <v>96</v>
      </c>
      <c r="B729" s="36">
        <v>45893</v>
      </c>
      <c r="C729" s="1">
        <v>1</v>
      </c>
      <c r="D729" s="1">
        <v>123</v>
      </c>
      <c r="E729" s="1" t="s">
        <v>8</v>
      </c>
      <c r="F729" s="1" t="s">
        <v>8</v>
      </c>
      <c r="G729" s="1" t="s">
        <v>8</v>
      </c>
      <c r="H729" s="1">
        <v>169</v>
      </c>
      <c r="I729" s="1">
        <v>90</v>
      </c>
      <c r="J729" s="1" t="s">
        <v>8</v>
      </c>
    </row>
    <row r="730" spans="1:10">
      <c r="A730" s="35"/>
      <c r="B730" s="36"/>
      <c r="C730" s="1">
        <v>2</v>
      </c>
      <c r="D730" s="1">
        <v>114</v>
      </c>
      <c r="E730" s="1" t="s">
        <v>8</v>
      </c>
      <c r="F730" s="1" t="s">
        <v>8</v>
      </c>
      <c r="G730" s="1" t="s">
        <v>8</v>
      </c>
      <c r="H730" s="1">
        <v>110</v>
      </c>
      <c r="I730" s="1">
        <v>77</v>
      </c>
      <c r="J730" s="1" t="s">
        <v>8</v>
      </c>
    </row>
    <row r="731" spans="1:10">
      <c r="A731" s="35"/>
      <c r="B731" s="36"/>
      <c r="C731" s="1">
        <v>3</v>
      </c>
      <c r="D731" s="1">
        <v>136</v>
      </c>
      <c r="E731" s="1" t="s">
        <v>8</v>
      </c>
      <c r="F731" s="1" t="s">
        <v>8</v>
      </c>
      <c r="G731" s="1" t="s">
        <v>8</v>
      </c>
      <c r="H731" s="1">
        <v>102</v>
      </c>
      <c r="I731" s="1">
        <v>106</v>
      </c>
      <c r="J731" s="1" t="s">
        <v>8</v>
      </c>
    </row>
    <row r="732" spans="1:10">
      <c r="A732" s="35"/>
      <c r="B732" s="36"/>
      <c r="C732" s="1">
        <v>4</v>
      </c>
      <c r="D732" s="1">
        <v>116</v>
      </c>
      <c r="E732" s="1" t="s">
        <v>8</v>
      </c>
      <c r="F732" s="1" t="s">
        <v>8</v>
      </c>
      <c r="G732" s="1" t="s">
        <v>8</v>
      </c>
      <c r="H732" s="1">
        <v>102</v>
      </c>
      <c r="I732" s="1">
        <v>104</v>
      </c>
      <c r="J732" s="1" t="s">
        <v>8</v>
      </c>
    </row>
    <row r="733" spans="1:10">
      <c r="A733" s="35"/>
      <c r="B733" s="36"/>
      <c r="C733" s="1">
        <v>5</v>
      </c>
      <c r="D733" s="1">
        <v>139</v>
      </c>
      <c r="E733" s="1" t="s">
        <v>8</v>
      </c>
      <c r="F733" s="1" t="s">
        <v>8</v>
      </c>
      <c r="G733" s="1" t="s">
        <v>8</v>
      </c>
      <c r="H733" s="1">
        <v>125</v>
      </c>
      <c r="I733" s="29">
        <v>55</v>
      </c>
      <c r="J733" s="1" t="s">
        <v>8</v>
      </c>
    </row>
    <row r="734" spans="1:10">
      <c r="A734" s="35"/>
      <c r="B734" s="36"/>
      <c r="C734" s="7" t="s">
        <v>6</v>
      </c>
      <c r="D734" s="8">
        <f t="shared" ref="D734" si="219">IF(SUM(D729:D733)=0,"-",SUM(D729:D733))</f>
        <v>628</v>
      </c>
      <c r="E734" s="8" t="str">
        <f t="shared" ref="E734:J734" si="220">IF(SUM(E729:E733)=0,"-",SUM(E729:E733))</f>
        <v>-</v>
      </c>
      <c r="F734" s="8" t="str">
        <f t="shared" si="220"/>
        <v>-</v>
      </c>
      <c r="G734" s="8" t="str">
        <f t="shared" si="220"/>
        <v>-</v>
      </c>
      <c r="H734" s="8">
        <f t="shared" si="220"/>
        <v>608</v>
      </c>
      <c r="I734" s="8">
        <f t="shared" si="220"/>
        <v>432</v>
      </c>
      <c r="J734" s="8" t="str">
        <f t="shared" si="220"/>
        <v>-</v>
      </c>
    </row>
    <row r="735" spans="1:10">
      <c r="A735" s="35"/>
      <c r="B735" s="36"/>
      <c r="C735" s="9" t="s">
        <v>7</v>
      </c>
      <c r="D735" s="10">
        <f>IF(D734="-","-",D734/MAX($C729:$C733))</f>
        <v>125.6</v>
      </c>
      <c r="E735" s="10" t="str">
        <f>IF(E734="-","-",E734/MAX($C729:$C733))</f>
        <v>-</v>
      </c>
      <c r="F735" s="10" t="str">
        <f>IF(F734="-","-",F734/ (MAX($C729:$C733)-2))</f>
        <v>-</v>
      </c>
      <c r="G735" s="10" t="str">
        <f>IF(G734="-","-",G734/MAX($C729:$C733))</f>
        <v>-</v>
      </c>
      <c r="H735" s="10">
        <f>IF(H734="-","-",H734/MAX($C729:$C733))</f>
        <v>121.6</v>
      </c>
      <c r="I735" s="10">
        <f>IF(I734="-","-",I734/MAX($C729:$C733))</f>
        <v>86.4</v>
      </c>
      <c r="J735" s="10" t="str">
        <f>IF(J734="-","-",J734/MAX($C729:$C733))</f>
        <v>-</v>
      </c>
    </row>
    <row r="736" spans="1:10">
      <c r="A736" s="34" t="s">
        <v>97</v>
      </c>
      <c r="B736" s="36">
        <v>45899</v>
      </c>
      <c r="C736" s="1">
        <v>1</v>
      </c>
      <c r="D736" s="1">
        <v>124</v>
      </c>
      <c r="E736" s="1" t="s">
        <v>8</v>
      </c>
      <c r="F736" s="1" t="s">
        <v>8</v>
      </c>
      <c r="G736" s="1" t="s">
        <v>8</v>
      </c>
      <c r="H736" s="1">
        <v>130</v>
      </c>
      <c r="I736" s="1" t="s">
        <v>8</v>
      </c>
      <c r="J736" s="1" t="s">
        <v>8</v>
      </c>
    </row>
    <row r="737" spans="1:10">
      <c r="A737" s="35"/>
      <c r="B737" s="36"/>
      <c r="C737" s="1">
        <v>2</v>
      </c>
      <c r="D737" s="1">
        <v>150</v>
      </c>
      <c r="E737" s="1" t="s">
        <v>8</v>
      </c>
      <c r="F737" s="1" t="s">
        <v>8</v>
      </c>
      <c r="G737" s="1" t="s">
        <v>8</v>
      </c>
      <c r="H737" s="1">
        <v>144</v>
      </c>
      <c r="I737" s="1" t="s">
        <v>8</v>
      </c>
      <c r="J737" s="1" t="s">
        <v>8</v>
      </c>
    </row>
    <row r="738" spans="1:10">
      <c r="A738" s="35"/>
      <c r="B738" s="36"/>
      <c r="C738" s="1">
        <v>3</v>
      </c>
      <c r="D738" s="1">
        <v>122</v>
      </c>
      <c r="E738" s="1" t="s">
        <v>8</v>
      </c>
      <c r="F738" s="1" t="s">
        <v>8</v>
      </c>
      <c r="G738" s="1" t="s">
        <v>8</v>
      </c>
      <c r="H738" s="1">
        <v>127</v>
      </c>
      <c r="I738" s="1" t="s">
        <v>8</v>
      </c>
      <c r="J738" s="1" t="s">
        <v>8</v>
      </c>
    </row>
    <row r="739" spans="1:10">
      <c r="A739" s="35"/>
      <c r="B739" s="36"/>
      <c r="C739" s="1">
        <v>4</v>
      </c>
      <c r="D739" s="1">
        <v>128</v>
      </c>
      <c r="E739" s="1" t="s">
        <v>8</v>
      </c>
      <c r="F739" s="1" t="s">
        <v>8</v>
      </c>
      <c r="G739" s="1" t="s">
        <v>8</v>
      </c>
      <c r="H739" s="1">
        <v>105</v>
      </c>
      <c r="I739" s="1" t="s">
        <v>8</v>
      </c>
      <c r="J739" s="1" t="s">
        <v>8</v>
      </c>
    </row>
    <row r="740" spans="1:10">
      <c r="A740" s="35"/>
      <c r="B740" s="36"/>
      <c r="C740" s="1">
        <v>5</v>
      </c>
      <c r="D740" s="1">
        <v>181</v>
      </c>
      <c r="E740" s="1" t="s">
        <v>8</v>
      </c>
      <c r="F740" s="1" t="s">
        <v>8</v>
      </c>
      <c r="G740" s="1" t="s">
        <v>8</v>
      </c>
      <c r="H740" s="1">
        <v>117</v>
      </c>
      <c r="I740" s="1" t="s">
        <v>8</v>
      </c>
      <c r="J740" s="1" t="s">
        <v>8</v>
      </c>
    </row>
    <row r="741" spans="1:10">
      <c r="A741" s="35"/>
      <c r="B741" s="36"/>
      <c r="C741" s="7" t="s">
        <v>6</v>
      </c>
      <c r="D741" s="8">
        <f t="shared" ref="D741" si="221">IF(SUM(D736:D740)=0,"-",SUM(D736:D740))</f>
        <v>705</v>
      </c>
      <c r="E741" s="8" t="str">
        <f t="shared" ref="E741:J741" si="222">IF(SUM(E736:E740)=0,"-",SUM(E736:E740))</f>
        <v>-</v>
      </c>
      <c r="F741" s="8" t="str">
        <f t="shared" si="222"/>
        <v>-</v>
      </c>
      <c r="G741" s="8" t="str">
        <f t="shared" si="222"/>
        <v>-</v>
      </c>
      <c r="H741" s="8">
        <f t="shared" si="222"/>
        <v>623</v>
      </c>
      <c r="I741" s="8" t="str">
        <f t="shared" si="222"/>
        <v>-</v>
      </c>
      <c r="J741" s="8" t="str">
        <f t="shared" si="222"/>
        <v>-</v>
      </c>
    </row>
    <row r="742" spans="1:10">
      <c r="A742" s="35"/>
      <c r="B742" s="36"/>
      <c r="C742" s="9" t="s">
        <v>7</v>
      </c>
      <c r="D742" s="10">
        <f>IF(D741="-","-",D741/MAX($C736:$C740))</f>
        <v>141</v>
      </c>
      <c r="E742" s="10" t="str">
        <f>IF(E741="-","-",E741/MAX($C736:$C740))</f>
        <v>-</v>
      </c>
      <c r="F742" s="10" t="str">
        <f>IF(F741="-","-",F741/ (MAX($C736:$C740)-2))</f>
        <v>-</v>
      </c>
      <c r="G742" s="10" t="str">
        <f>IF(G741="-","-",G741/MAX($C736:$C740))</f>
        <v>-</v>
      </c>
      <c r="H742" s="10">
        <f>IF(H741="-","-",H741/MAX($C736:$C740))</f>
        <v>124.6</v>
      </c>
      <c r="I742" s="10" t="str">
        <f>IF(I741="-","-",I741/MAX($C736:$C740))</f>
        <v>-</v>
      </c>
      <c r="J742" s="10" t="str">
        <f>IF(J741="-","-",J741/MAX($C736:$C740))</f>
        <v>-</v>
      </c>
    </row>
    <row r="743" spans="1:10">
      <c r="A743" s="34" t="s">
        <v>98</v>
      </c>
      <c r="B743" s="36">
        <v>45906</v>
      </c>
      <c r="C743" s="1">
        <v>1</v>
      </c>
      <c r="D743" s="1">
        <v>110</v>
      </c>
      <c r="E743" s="1">
        <v>132</v>
      </c>
      <c r="F743" s="1" t="s">
        <v>8</v>
      </c>
      <c r="G743" s="1" t="s">
        <v>8</v>
      </c>
      <c r="H743" s="1">
        <v>125</v>
      </c>
      <c r="I743" s="1">
        <v>88</v>
      </c>
      <c r="J743" s="1" t="s">
        <v>8</v>
      </c>
    </row>
    <row r="744" spans="1:10">
      <c r="A744" s="35"/>
      <c r="B744" s="36"/>
      <c r="C744" s="1">
        <v>2</v>
      </c>
      <c r="D744" s="1">
        <v>144</v>
      </c>
      <c r="E744" s="1">
        <v>138</v>
      </c>
      <c r="F744" s="1" t="s">
        <v>8</v>
      </c>
      <c r="G744" s="1" t="s">
        <v>8</v>
      </c>
      <c r="H744" s="1">
        <v>115</v>
      </c>
      <c r="I744" s="1">
        <v>115</v>
      </c>
      <c r="J744" s="1" t="s">
        <v>8</v>
      </c>
    </row>
    <row r="745" spans="1:10">
      <c r="A745" s="35"/>
      <c r="B745" s="36"/>
      <c r="C745" s="1">
        <v>3</v>
      </c>
      <c r="D745" s="1">
        <v>107</v>
      </c>
      <c r="E745" s="1">
        <v>218</v>
      </c>
      <c r="F745" s="1" t="s">
        <v>8</v>
      </c>
      <c r="G745" s="1" t="s">
        <v>8</v>
      </c>
      <c r="H745" s="1">
        <v>123</v>
      </c>
      <c r="I745" s="1">
        <v>124</v>
      </c>
      <c r="J745" s="1" t="s">
        <v>8</v>
      </c>
    </row>
    <row r="746" spans="1:10">
      <c r="A746" s="35"/>
      <c r="B746" s="36"/>
      <c r="C746" s="1">
        <v>4</v>
      </c>
      <c r="D746" s="1">
        <v>115</v>
      </c>
      <c r="E746" s="1">
        <v>147</v>
      </c>
      <c r="F746" s="1" t="s">
        <v>8</v>
      </c>
      <c r="G746" s="1" t="s">
        <v>8</v>
      </c>
      <c r="H746" s="1">
        <v>109</v>
      </c>
      <c r="I746" s="1">
        <v>75</v>
      </c>
      <c r="J746" s="1" t="s">
        <v>8</v>
      </c>
    </row>
    <row r="747" spans="1:10">
      <c r="A747" s="35"/>
      <c r="B747" s="36"/>
      <c r="C747" s="1">
        <v>5</v>
      </c>
      <c r="D747" s="1">
        <v>126</v>
      </c>
      <c r="E747" s="1">
        <v>138</v>
      </c>
      <c r="F747" s="1" t="s">
        <v>8</v>
      </c>
      <c r="G747" s="1" t="s">
        <v>8</v>
      </c>
      <c r="H747" s="1">
        <v>96</v>
      </c>
      <c r="I747" s="1">
        <v>85</v>
      </c>
      <c r="J747" s="1" t="s">
        <v>8</v>
      </c>
    </row>
    <row r="748" spans="1:10">
      <c r="A748" s="35"/>
      <c r="B748" s="36"/>
      <c r="C748" s="7" t="s">
        <v>6</v>
      </c>
      <c r="D748" s="8">
        <f t="shared" ref="D748" si="223">IF(SUM(D743:D747)=0,"-",SUM(D743:D747))</f>
        <v>602</v>
      </c>
      <c r="E748" s="8">
        <f t="shared" ref="E748:J748" si="224">IF(SUM(E743:E747)=0,"-",SUM(E743:E747))</f>
        <v>773</v>
      </c>
      <c r="F748" s="8" t="str">
        <f t="shared" si="224"/>
        <v>-</v>
      </c>
      <c r="G748" s="8" t="str">
        <f t="shared" si="224"/>
        <v>-</v>
      </c>
      <c r="H748" s="8">
        <f t="shared" si="224"/>
        <v>568</v>
      </c>
      <c r="I748" s="8">
        <f t="shared" si="224"/>
        <v>487</v>
      </c>
      <c r="J748" s="8" t="str">
        <f t="shared" si="224"/>
        <v>-</v>
      </c>
    </row>
    <row r="749" spans="1:10">
      <c r="A749" s="35"/>
      <c r="B749" s="36"/>
      <c r="C749" s="9" t="s">
        <v>7</v>
      </c>
      <c r="D749" s="10">
        <f>IF(D748="-","-",D748/MAX($C743:$C747))</f>
        <v>120.4</v>
      </c>
      <c r="E749" s="10">
        <f>IF(E748="-","-",E748/MAX($C743:$C747))</f>
        <v>154.6</v>
      </c>
      <c r="F749" s="10" t="str">
        <f>IF(F748="-","-",F748/ (MAX($C743:$C747)-2))</f>
        <v>-</v>
      </c>
      <c r="G749" s="10" t="str">
        <f>IF(G748="-","-",G748/MAX($C743:$C747))</f>
        <v>-</v>
      </c>
      <c r="H749" s="10">
        <f>IF(H748="-","-",H748/MAX($C743:$C747))</f>
        <v>113.6</v>
      </c>
      <c r="I749" s="10">
        <f>IF(I748="-","-",I748/MAX($C743:$C747))</f>
        <v>97.4</v>
      </c>
      <c r="J749" s="10" t="str">
        <f>IF(J748="-","-",J748/MAX($C743:$C747))</f>
        <v>-</v>
      </c>
    </row>
    <row r="750" spans="1:10">
      <c r="A750" s="34" t="s">
        <v>99</v>
      </c>
      <c r="B750" s="36">
        <v>45920</v>
      </c>
      <c r="C750" s="1">
        <v>1</v>
      </c>
      <c r="D750" s="1">
        <v>129</v>
      </c>
      <c r="E750" s="1" t="s">
        <v>8</v>
      </c>
      <c r="F750" s="1" t="s">
        <v>8</v>
      </c>
      <c r="G750" s="1" t="s">
        <v>8</v>
      </c>
      <c r="H750" s="1" t="s">
        <v>8</v>
      </c>
      <c r="I750" s="1" t="s">
        <v>8</v>
      </c>
      <c r="J750" s="1" t="s">
        <v>8</v>
      </c>
    </row>
    <row r="751" spans="1:10">
      <c r="A751" s="35"/>
      <c r="B751" s="36"/>
      <c r="C751" s="1">
        <v>2</v>
      </c>
      <c r="D751" s="1">
        <v>114</v>
      </c>
      <c r="E751" s="1" t="s">
        <v>8</v>
      </c>
      <c r="F751" s="1" t="s">
        <v>8</v>
      </c>
      <c r="G751" s="1" t="s">
        <v>8</v>
      </c>
      <c r="H751" s="1" t="s">
        <v>8</v>
      </c>
      <c r="I751" s="1" t="s">
        <v>8</v>
      </c>
      <c r="J751" s="1" t="s">
        <v>8</v>
      </c>
    </row>
    <row r="752" spans="1:10">
      <c r="A752" s="35"/>
      <c r="B752" s="36"/>
      <c r="C752" s="1">
        <v>3</v>
      </c>
      <c r="D752" s="1">
        <v>139</v>
      </c>
      <c r="E752" s="1" t="s">
        <v>8</v>
      </c>
      <c r="F752" s="1" t="s">
        <v>8</v>
      </c>
      <c r="G752" s="1" t="s">
        <v>8</v>
      </c>
      <c r="H752" s="1" t="s">
        <v>8</v>
      </c>
      <c r="I752" s="1" t="s">
        <v>8</v>
      </c>
      <c r="J752" s="1" t="s">
        <v>8</v>
      </c>
    </row>
    <row r="753" spans="1:10">
      <c r="A753" s="35"/>
      <c r="B753" s="36"/>
      <c r="C753" s="1">
        <v>4</v>
      </c>
      <c r="D753" s="1">
        <v>119</v>
      </c>
      <c r="E753" s="1" t="s">
        <v>8</v>
      </c>
      <c r="F753" s="1" t="s">
        <v>8</v>
      </c>
      <c r="G753" s="1" t="s">
        <v>8</v>
      </c>
      <c r="H753" s="1" t="s">
        <v>8</v>
      </c>
      <c r="I753" s="1" t="s">
        <v>8</v>
      </c>
      <c r="J753" s="1" t="s">
        <v>8</v>
      </c>
    </row>
    <row r="754" spans="1:10">
      <c r="A754" s="35"/>
      <c r="B754" s="36"/>
      <c r="C754" s="1">
        <v>5</v>
      </c>
      <c r="D754" s="1">
        <v>102</v>
      </c>
      <c r="E754" s="1" t="s">
        <v>8</v>
      </c>
      <c r="F754" s="1" t="s">
        <v>8</v>
      </c>
      <c r="G754" s="1" t="s">
        <v>8</v>
      </c>
      <c r="H754" s="1" t="s">
        <v>8</v>
      </c>
      <c r="I754" s="1" t="s">
        <v>8</v>
      </c>
      <c r="J754" s="1" t="s">
        <v>8</v>
      </c>
    </row>
    <row r="755" spans="1:10">
      <c r="A755" s="35"/>
      <c r="B755" s="36"/>
      <c r="C755" s="7" t="s">
        <v>6</v>
      </c>
      <c r="D755" s="8">
        <f t="shared" ref="D755" si="225">IF(SUM(D750:D754)=0,"-",SUM(D750:D754))</f>
        <v>603</v>
      </c>
      <c r="E755" s="8" t="str">
        <f t="shared" ref="E755:J755" si="226">IF(SUM(E750:E754)=0,"-",SUM(E750:E754))</f>
        <v>-</v>
      </c>
      <c r="F755" s="8" t="str">
        <f t="shared" si="226"/>
        <v>-</v>
      </c>
      <c r="G755" s="8" t="str">
        <f t="shared" si="226"/>
        <v>-</v>
      </c>
      <c r="H755" s="8" t="str">
        <f t="shared" si="226"/>
        <v>-</v>
      </c>
      <c r="I755" s="8" t="str">
        <f t="shared" si="226"/>
        <v>-</v>
      </c>
      <c r="J755" s="8" t="str">
        <f t="shared" si="226"/>
        <v>-</v>
      </c>
    </row>
    <row r="756" spans="1:10">
      <c r="A756" s="35"/>
      <c r="B756" s="36"/>
      <c r="C756" s="9" t="s">
        <v>7</v>
      </c>
      <c r="D756" s="10">
        <f>IF(D755="-","-",D755/MAX($C750:$C754))</f>
        <v>120.6</v>
      </c>
      <c r="E756" s="10" t="str">
        <f>IF(E755="-","-",E755/MAX($C750:$C754))</f>
        <v>-</v>
      </c>
      <c r="F756" s="10" t="str">
        <f>IF(F755="-","-",F755/ (MAX($C750:$C754)-2))</f>
        <v>-</v>
      </c>
      <c r="G756" s="10" t="str">
        <f>IF(G755="-","-",G755/MAX($C750:$C754))</f>
        <v>-</v>
      </c>
      <c r="H756" s="10" t="str">
        <f>IF(H755="-","-",H755/MAX($C750:$C754))</f>
        <v>-</v>
      </c>
      <c r="I756" s="10" t="str">
        <f>IF(I755="-","-",I755/MAX($C750:$C754))</f>
        <v>-</v>
      </c>
      <c r="J756" s="10" t="str">
        <f>IF(J755="-","-",J755/MAX($C750:$C754))</f>
        <v>-</v>
      </c>
    </row>
    <row r="757" spans="1:10">
      <c r="A757" s="34" t="s">
        <v>100</v>
      </c>
      <c r="B757" s="36">
        <v>45934</v>
      </c>
      <c r="C757" s="1">
        <v>1</v>
      </c>
      <c r="D757" s="1">
        <v>106</v>
      </c>
      <c r="E757" s="1" t="s">
        <v>8</v>
      </c>
      <c r="F757" s="1" t="s">
        <v>8</v>
      </c>
      <c r="G757" s="1" t="s">
        <v>8</v>
      </c>
      <c r="H757" s="1">
        <v>101</v>
      </c>
      <c r="I757" s="1" t="s">
        <v>8</v>
      </c>
      <c r="J757" s="1" t="s">
        <v>8</v>
      </c>
    </row>
    <row r="758" spans="1:10">
      <c r="A758" s="35"/>
      <c r="B758" s="36"/>
      <c r="C758" s="1">
        <v>2</v>
      </c>
      <c r="D758" s="1">
        <v>196</v>
      </c>
      <c r="E758" s="1" t="s">
        <v>8</v>
      </c>
      <c r="F758" s="1" t="s">
        <v>8</v>
      </c>
      <c r="G758" s="1" t="s">
        <v>8</v>
      </c>
      <c r="H758" s="1">
        <v>99</v>
      </c>
      <c r="I758" s="1" t="s">
        <v>8</v>
      </c>
      <c r="J758" s="1" t="s">
        <v>8</v>
      </c>
    </row>
    <row r="759" spans="1:10">
      <c r="A759" s="35"/>
      <c r="B759" s="36"/>
      <c r="C759" s="1">
        <v>3</v>
      </c>
      <c r="D759" s="1">
        <v>165</v>
      </c>
      <c r="E759" s="1" t="s">
        <v>8</v>
      </c>
      <c r="F759" s="1" t="s">
        <v>8</v>
      </c>
      <c r="G759" s="1" t="s">
        <v>8</v>
      </c>
      <c r="H759" s="1">
        <v>136</v>
      </c>
      <c r="I759" s="1" t="s">
        <v>8</v>
      </c>
      <c r="J759" s="1" t="s">
        <v>8</v>
      </c>
    </row>
    <row r="760" spans="1:10">
      <c r="A760" s="35"/>
      <c r="B760" s="36"/>
      <c r="C760" s="1">
        <v>4</v>
      </c>
      <c r="D760" s="1">
        <v>156</v>
      </c>
      <c r="E760" s="1" t="s">
        <v>8</v>
      </c>
      <c r="F760" s="1" t="s">
        <v>8</v>
      </c>
      <c r="G760" s="1" t="s">
        <v>8</v>
      </c>
      <c r="H760" s="1">
        <v>84</v>
      </c>
      <c r="I760" s="1" t="s">
        <v>8</v>
      </c>
      <c r="J760" s="1" t="s">
        <v>8</v>
      </c>
    </row>
    <row r="761" spans="1:10">
      <c r="A761" s="35"/>
      <c r="B761" s="36"/>
      <c r="C761" s="1">
        <v>5</v>
      </c>
      <c r="D761" s="1">
        <v>181</v>
      </c>
      <c r="E761" s="1" t="s">
        <v>8</v>
      </c>
      <c r="F761" s="1" t="s">
        <v>8</v>
      </c>
      <c r="G761" s="1" t="s">
        <v>8</v>
      </c>
      <c r="H761" s="1">
        <v>90</v>
      </c>
      <c r="I761" s="1" t="s">
        <v>8</v>
      </c>
      <c r="J761" s="1" t="s">
        <v>8</v>
      </c>
    </row>
    <row r="762" spans="1:10">
      <c r="A762" s="35"/>
      <c r="B762" s="36"/>
      <c r="C762" s="7" t="s">
        <v>6</v>
      </c>
      <c r="D762" s="8">
        <f t="shared" ref="D762" si="227">IF(SUM(D757:D761)=0,"-",SUM(D757:D761))</f>
        <v>804</v>
      </c>
      <c r="E762" s="8" t="str">
        <f t="shared" ref="E762:J762" si="228">IF(SUM(E757:E761)=0,"-",SUM(E757:E761))</f>
        <v>-</v>
      </c>
      <c r="F762" s="8" t="str">
        <f t="shared" si="228"/>
        <v>-</v>
      </c>
      <c r="G762" s="8" t="str">
        <f t="shared" si="228"/>
        <v>-</v>
      </c>
      <c r="H762" s="8">
        <f t="shared" si="228"/>
        <v>510</v>
      </c>
      <c r="I762" s="8" t="str">
        <f t="shared" si="228"/>
        <v>-</v>
      </c>
      <c r="J762" s="8" t="str">
        <f t="shared" si="228"/>
        <v>-</v>
      </c>
    </row>
    <row r="763" spans="1:10">
      <c r="A763" s="35"/>
      <c r="B763" s="36"/>
      <c r="C763" s="9" t="s">
        <v>7</v>
      </c>
      <c r="D763" s="10">
        <f>IF(D762="-","-",D762/MAX($C757:$C761))</f>
        <v>160.80000000000001</v>
      </c>
      <c r="E763" s="10" t="str">
        <f>IF(E762="-","-",E762/MAX($C757:$C761))</f>
        <v>-</v>
      </c>
      <c r="F763" s="10" t="str">
        <f>IF(F762="-","-",F762/ (MAX($C757:$C761)-2))</f>
        <v>-</v>
      </c>
      <c r="G763" s="10" t="str">
        <f>IF(G762="-","-",G762/MAX($C757:$C761))</f>
        <v>-</v>
      </c>
      <c r="H763" s="10">
        <f>IF(H762="-","-",H762/MAX($C757:$C761))</f>
        <v>102</v>
      </c>
      <c r="I763" s="10" t="str">
        <f>IF(I762="-","-",I762/MAX($C757:$C761))</f>
        <v>-</v>
      </c>
      <c r="J763" s="10" t="str">
        <f>IF(J762="-","-",J762/MAX($C757:$C761))</f>
        <v>-</v>
      </c>
    </row>
    <row r="764" spans="1:10">
      <c r="A764" s="34" t="s">
        <v>101</v>
      </c>
      <c r="B764" s="36">
        <v>45940</v>
      </c>
      <c r="C764" s="1">
        <v>1</v>
      </c>
      <c r="D764" s="1">
        <v>93</v>
      </c>
      <c r="E764" s="1" t="s">
        <v>8</v>
      </c>
      <c r="F764" s="1" t="s">
        <v>8</v>
      </c>
      <c r="G764" s="1" t="s">
        <v>8</v>
      </c>
      <c r="H764" s="1" t="s">
        <v>8</v>
      </c>
      <c r="I764" s="1" t="s">
        <v>8</v>
      </c>
      <c r="J764" s="1" t="s">
        <v>8</v>
      </c>
    </row>
    <row r="765" spans="1:10">
      <c r="A765" s="35"/>
      <c r="B765" s="36"/>
      <c r="C765" s="1">
        <v>2</v>
      </c>
      <c r="D765" s="1">
        <v>131</v>
      </c>
      <c r="E765" s="1" t="s">
        <v>8</v>
      </c>
      <c r="F765" s="1" t="s">
        <v>8</v>
      </c>
      <c r="G765" s="1" t="s">
        <v>8</v>
      </c>
      <c r="H765" s="1" t="s">
        <v>8</v>
      </c>
      <c r="I765" s="1" t="s">
        <v>8</v>
      </c>
      <c r="J765" s="1" t="s">
        <v>8</v>
      </c>
    </row>
    <row r="766" spans="1:10">
      <c r="A766" s="35"/>
      <c r="B766" s="36"/>
      <c r="C766" s="1">
        <v>3</v>
      </c>
      <c r="D766" s="1">
        <v>102</v>
      </c>
      <c r="E766" s="1" t="s">
        <v>8</v>
      </c>
      <c r="F766" s="1" t="s">
        <v>8</v>
      </c>
      <c r="G766" s="1" t="s">
        <v>8</v>
      </c>
      <c r="H766" s="1" t="s">
        <v>8</v>
      </c>
      <c r="I766" s="1" t="s">
        <v>8</v>
      </c>
      <c r="J766" s="1" t="s">
        <v>8</v>
      </c>
    </row>
    <row r="767" spans="1:10">
      <c r="A767" s="35"/>
      <c r="B767" s="36"/>
      <c r="C767" s="1">
        <v>4</v>
      </c>
      <c r="D767" s="1">
        <v>114</v>
      </c>
      <c r="E767" s="1" t="s">
        <v>8</v>
      </c>
      <c r="F767" s="1" t="s">
        <v>8</v>
      </c>
      <c r="G767" s="1" t="s">
        <v>8</v>
      </c>
      <c r="H767" s="1" t="s">
        <v>8</v>
      </c>
      <c r="I767" s="1" t="s">
        <v>8</v>
      </c>
      <c r="J767" s="1" t="s">
        <v>8</v>
      </c>
    </row>
    <row r="768" spans="1:10">
      <c r="A768" s="35"/>
      <c r="B768" s="36"/>
      <c r="C768" s="1">
        <v>5</v>
      </c>
      <c r="D768" s="1">
        <v>112</v>
      </c>
      <c r="E768" s="1" t="s">
        <v>8</v>
      </c>
      <c r="F768" s="1" t="s">
        <v>8</v>
      </c>
      <c r="G768" s="1" t="s">
        <v>8</v>
      </c>
      <c r="H768" s="1" t="s">
        <v>8</v>
      </c>
      <c r="I768" s="1" t="s">
        <v>8</v>
      </c>
      <c r="J768" s="1" t="s">
        <v>8</v>
      </c>
    </row>
    <row r="769" spans="1:10">
      <c r="A769" s="35"/>
      <c r="B769" s="36"/>
      <c r="C769" s="7" t="s">
        <v>6</v>
      </c>
      <c r="D769" s="8">
        <f t="shared" ref="D769" si="229">IF(SUM(D764:D768)=0,"-",SUM(D764:D768))</f>
        <v>552</v>
      </c>
      <c r="E769" s="8" t="str">
        <f t="shared" ref="E769:J769" si="230">IF(SUM(E764:E768)=0,"-",SUM(E764:E768))</f>
        <v>-</v>
      </c>
      <c r="F769" s="8" t="str">
        <f t="shared" si="230"/>
        <v>-</v>
      </c>
      <c r="G769" s="8" t="str">
        <f t="shared" si="230"/>
        <v>-</v>
      </c>
      <c r="H769" s="8" t="str">
        <f t="shared" si="230"/>
        <v>-</v>
      </c>
      <c r="I769" s="8" t="str">
        <f t="shared" si="230"/>
        <v>-</v>
      </c>
      <c r="J769" s="8" t="str">
        <f t="shared" si="230"/>
        <v>-</v>
      </c>
    </row>
    <row r="770" spans="1:10">
      <c r="A770" s="35"/>
      <c r="B770" s="36"/>
      <c r="C770" s="9" t="s">
        <v>7</v>
      </c>
      <c r="D770" s="10">
        <f>IF(D769="-","-",D769/MAX($C764:$C768))</f>
        <v>110.4</v>
      </c>
      <c r="E770" s="10" t="str">
        <f>IF(E769="-","-",E769/MAX($C764:$C768))</f>
        <v>-</v>
      </c>
      <c r="F770" s="10" t="str">
        <f>IF(F769="-","-",F769/ (MAX($C764:$C768)-2))</f>
        <v>-</v>
      </c>
      <c r="G770" s="10" t="str">
        <f>IF(G769="-","-",G769/MAX($C764:$C768))</f>
        <v>-</v>
      </c>
      <c r="H770" s="10" t="str">
        <f>IF(H769="-","-",H769/MAX($C764:$C768))</f>
        <v>-</v>
      </c>
      <c r="I770" s="10" t="str">
        <f>IF(I769="-","-",I769/MAX($C764:$C768))</f>
        <v>-</v>
      </c>
      <c r="J770" s="10" t="str">
        <f>IF(J769="-","-",J769/MAX($C764:$C768))</f>
        <v>-</v>
      </c>
    </row>
    <row r="771" spans="1:10">
      <c r="A771" s="34" t="s">
        <v>102</v>
      </c>
      <c r="B771" s="36">
        <v>45942</v>
      </c>
      <c r="C771" s="1">
        <v>1</v>
      </c>
      <c r="D771" s="1" t="s">
        <v>8</v>
      </c>
      <c r="E771" s="1">
        <v>123</v>
      </c>
      <c r="F771" s="1" t="s">
        <v>8</v>
      </c>
      <c r="G771" s="1" t="s">
        <v>8</v>
      </c>
      <c r="H771" s="1" t="s">
        <v>8</v>
      </c>
      <c r="I771" s="1" t="s">
        <v>8</v>
      </c>
      <c r="J771" s="1" t="s">
        <v>8</v>
      </c>
    </row>
    <row r="772" spans="1:10">
      <c r="A772" s="35"/>
      <c r="B772" s="36"/>
      <c r="C772" s="1">
        <v>2</v>
      </c>
      <c r="D772" s="1" t="s">
        <v>8</v>
      </c>
      <c r="E772" s="1">
        <v>124</v>
      </c>
      <c r="F772" s="1" t="s">
        <v>8</v>
      </c>
      <c r="G772" s="1" t="s">
        <v>8</v>
      </c>
      <c r="H772" s="1" t="s">
        <v>8</v>
      </c>
      <c r="I772" s="1" t="s">
        <v>8</v>
      </c>
      <c r="J772" s="1" t="s">
        <v>8</v>
      </c>
    </row>
    <row r="773" spans="1:10">
      <c r="A773" s="35"/>
      <c r="B773" s="36"/>
      <c r="C773" s="1">
        <v>3</v>
      </c>
      <c r="D773" s="1" t="s">
        <v>8</v>
      </c>
      <c r="E773" s="1">
        <v>127</v>
      </c>
      <c r="F773" s="1" t="s">
        <v>8</v>
      </c>
      <c r="G773" s="1" t="s">
        <v>8</v>
      </c>
      <c r="H773" s="1" t="s">
        <v>8</v>
      </c>
      <c r="I773" s="1" t="s">
        <v>8</v>
      </c>
      <c r="J773" s="1" t="s">
        <v>8</v>
      </c>
    </row>
    <row r="774" spans="1:10">
      <c r="A774" s="35"/>
      <c r="B774" s="36"/>
      <c r="C774" s="1">
        <v>4</v>
      </c>
      <c r="D774" s="1" t="s">
        <v>8</v>
      </c>
      <c r="E774" s="1">
        <v>136</v>
      </c>
      <c r="F774" s="1" t="s">
        <v>8</v>
      </c>
      <c r="G774" s="1" t="s">
        <v>8</v>
      </c>
      <c r="H774" s="1" t="s">
        <v>8</v>
      </c>
      <c r="I774" s="1" t="s">
        <v>8</v>
      </c>
      <c r="J774" s="1" t="s">
        <v>8</v>
      </c>
    </row>
    <row r="775" spans="1:10">
      <c r="A775" s="35"/>
      <c r="B775" s="36"/>
      <c r="C775" s="1">
        <v>5</v>
      </c>
      <c r="D775" s="1" t="s">
        <v>8</v>
      </c>
      <c r="E775" s="1">
        <v>145</v>
      </c>
      <c r="F775" s="1" t="s">
        <v>8</v>
      </c>
      <c r="G775" s="1" t="s">
        <v>8</v>
      </c>
      <c r="H775" s="1" t="s">
        <v>8</v>
      </c>
      <c r="I775" s="1" t="s">
        <v>8</v>
      </c>
      <c r="J775" s="1" t="s">
        <v>8</v>
      </c>
    </row>
    <row r="776" spans="1:10">
      <c r="A776" s="35"/>
      <c r="B776" s="36"/>
      <c r="C776" s="7" t="s">
        <v>6</v>
      </c>
      <c r="D776" s="8" t="str">
        <f t="shared" ref="D776" si="231">IF(SUM(D771:D775)=0,"-",SUM(D771:D775))</f>
        <v>-</v>
      </c>
      <c r="E776" s="8">
        <f t="shared" ref="E776:J776" si="232">IF(SUM(E771:E775)=0,"-",SUM(E771:E775))</f>
        <v>655</v>
      </c>
      <c r="F776" s="8" t="str">
        <f t="shared" si="232"/>
        <v>-</v>
      </c>
      <c r="G776" s="8" t="str">
        <f t="shared" si="232"/>
        <v>-</v>
      </c>
      <c r="H776" s="8" t="str">
        <f t="shared" si="232"/>
        <v>-</v>
      </c>
      <c r="I776" s="8" t="str">
        <f t="shared" si="232"/>
        <v>-</v>
      </c>
      <c r="J776" s="8" t="str">
        <f t="shared" si="232"/>
        <v>-</v>
      </c>
    </row>
    <row r="777" spans="1:10">
      <c r="A777" s="35"/>
      <c r="B777" s="36"/>
      <c r="C777" s="9" t="s">
        <v>7</v>
      </c>
      <c r="D777" s="10" t="str">
        <f>IF(D776="-","-",D776/MAX($C771:$C775))</f>
        <v>-</v>
      </c>
      <c r="E777" s="10">
        <f>IF(E776="-","-",E776/MAX($C771:$C775))</f>
        <v>131</v>
      </c>
      <c r="F777" s="10" t="str">
        <f>IF(F776="-","-",F776/ (MAX($C771:$C775)-2))</f>
        <v>-</v>
      </c>
      <c r="G777" s="10" t="str">
        <f>IF(G776="-","-",G776/MAX($C771:$C775))</f>
        <v>-</v>
      </c>
      <c r="H777" s="10" t="str">
        <f>IF(H776="-","-",H776/MAX($C771:$C775))</f>
        <v>-</v>
      </c>
      <c r="I777" s="10" t="str">
        <f>IF(I776="-","-",I776/MAX($C771:$C775))</f>
        <v>-</v>
      </c>
      <c r="J777" s="10" t="str">
        <f>IF(J776="-","-",J776/MAX($C771:$C775))</f>
        <v>-</v>
      </c>
    </row>
    <row r="778" spans="1:10">
      <c r="A778" s="55" t="s">
        <v>103</v>
      </c>
      <c r="B778" s="36">
        <v>45949</v>
      </c>
      <c r="C778" s="1">
        <v>1</v>
      </c>
      <c r="D778" s="1">
        <v>122</v>
      </c>
      <c r="E778" s="1" t="s">
        <v>8</v>
      </c>
      <c r="F778" s="1" t="s">
        <v>8</v>
      </c>
      <c r="G778" s="1" t="s">
        <v>8</v>
      </c>
      <c r="H778" s="1">
        <v>120</v>
      </c>
      <c r="I778" s="1" t="s">
        <v>8</v>
      </c>
      <c r="J778" s="1" t="s">
        <v>8</v>
      </c>
    </row>
    <row r="779" spans="1:10">
      <c r="A779" s="56"/>
      <c r="B779" s="36"/>
      <c r="C779" s="1">
        <v>2</v>
      </c>
      <c r="D779" s="1">
        <v>146</v>
      </c>
      <c r="E779" s="1" t="s">
        <v>8</v>
      </c>
      <c r="F779" s="1" t="s">
        <v>8</v>
      </c>
      <c r="G779" s="1" t="s">
        <v>8</v>
      </c>
      <c r="H779" s="1">
        <v>116</v>
      </c>
      <c r="I779" s="1" t="s">
        <v>8</v>
      </c>
      <c r="J779" s="1" t="s">
        <v>8</v>
      </c>
    </row>
    <row r="780" spans="1:10">
      <c r="A780" s="56"/>
      <c r="B780" s="36"/>
      <c r="C780" s="1">
        <v>3</v>
      </c>
      <c r="D780" s="1">
        <v>122</v>
      </c>
      <c r="E780" s="1" t="s">
        <v>8</v>
      </c>
      <c r="F780" s="1" t="s">
        <v>8</v>
      </c>
      <c r="G780" s="1" t="s">
        <v>8</v>
      </c>
      <c r="H780" s="1">
        <v>98</v>
      </c>
      <c r="I780" s="1" t="s">
        <v>8</v>
      </c>
      <c r="J780" s="1" t="s">
        <v>8</v>
      </c>
    </row>
    <row r="781" spans="1:10">
      <c r="A781" s="56"/>
      <c r="B781" s="36"/>
      <c r="C781" s="1">
        <v>4</v>
      </c>
      <c r="D781" s="1">
        <v>149</v>
      </c>
      <c r="E781" s="1" t="s">
        <v>8</v>
      </c>
      <c r="F781" s="1" t="s">
        <v>8</v>
      </c>
      <c r="G781" s="1" t="s">
        <v>8</v>
      </c>
      <c r="H781" s="1">
        <v>113</v>
      </c>
      <c r="I781" s="1" t="s">
        <v>8</v>
      </c>
      <c r="J781" s="1" t="s">
        <v>8</v>
      </c>
    </row>
    <row r="782" spans="1:10">
      <c r="A782" s="56"/>
      <c r="B782" s="36"/>
      <c r="C782" s="1">
        <v>5</v>
      </c>
      <c r="D782" s="1">
        <v>166</v>
      </c>
      <c r="E782" s="1" t="s">
        <v>8</v>
      </c>
      <c r="F782" s="1" t="s">
        <v>8</v>
      </c>
      <c r="G782" s="1" t="s">
        <v>8</v>
      </c>
      <c r="H782" s="1">
        <v>102</v>
      </c>
      <c r="I782" s="1" t="s">
        <v>8</v>
      </c>
      <c r="J782" s="1" t="s">
        <v>8</v>
      </c>
    </row>
    <row r="783" spans="1:10">
      <c r="A783" s="56"/>
      <c r="B783" s="36"/>
      <c r="C783" s="7" t="s">
        <v>6</v>
      </c>
      <c r="D783" s="8">
        <f t="shared" ref="D783" si="233">IF(SUM(D778:D782)=0,"-",SUM(D778:D782))</f>
        <v>705</v>
      </c>
      <c r="E783" s="8" t="str">
        <f t="shared" ref="E783:J783" si="234">IF(SUM(E778:E782)=0,"-",SUM(E778:E782))</f>
        <v>-</v>
      </c>
      <c r="F783" s="8" t="str">
        <f t="shared" si="234"/>
        <v>-</v>
      </c>
      <c r="G783" s="8" t="str">
        <f t="shared" si="234"/>
        <v>-</v>
      </c>
      <c r="H783" s="8">
        <f t="shared" si="234"/>
        <v>549</v>
      </c>
      <c r="I783" s="8" t="str">
        <f t="shared" si="234"/>
        <v>-</v>
      </c>
      <c r="J783" s="8" t="str">
        <f t="shared" si="234"/>
        <v>-</v>
      </c>
    </row>
    <row r="784" spans="1:10">
      <c r="A784" s="56"/>
      <c r="B784" s="36"/>
      <c r="C784" s="9" t="s">
        <v>7</v>
      </c>
      <c r="D784" s="10">
        <f>IF(D783="-","-",D783/MAX($C778:$C782))</f>
        <v>141</v>
      </c>
      <c r="E784" s="10" t="str">
        <f>IF(E783="-","-",E783/MAX($C778:$C782))</f>
        <v>-</v>
      </c>
      <c r="F784" s="10" t="str">
        <f>IF(F783="-","-",F783/ (MAX($C778:$C782)-2))</f>
        <v>-</v>
      </c>
      <c r="G784" s="10" t="str">
        <f>IF(G783="-","-",G783/MAX($C778:$C782))</f>
        <v>-</v>
      </c>
      <c r="H784" s="10">
        <f>IF(H783="-","-",H783/MAX($C778:$C782))</f>
        <v>109.8</v>
      </c>
      <c r="I784" s="10" t="str">
        <f>IF(I783="-","-",I783/MAX($C778:$C782))</f>
        <v>-</v>
      </c>
      <c r="J784" s="10" t="str">
        <f>IF(J783="-","-",J783/MAX($C778:$C782))</f>
        <v>-</v>
      </c>
    </row>
    <row r="785" spans="1:10">
      <c r="A785" s="34" t="s">
        <v>104</v>
      </c>
      <c r="B785" s="36">
        <v>45983</v>
      </c>
      <c r="C785" s="1">
        <v>1</v>
      </c>
      <c r="D785" s="1">
        <v>137</v>
      </c>
      <c r="E785" s="1">
        <v>158</v>
      </c>
      <c r="F785" s="1" t="s">
        <v>8</v>
      </c>
      <c r="G785" s="1" t="s">
        <v>8</v>
      </c>
      <c r="H785" s="1">
        <v>98</v>
      </c>
      <c r="I785" s="1">
        <v>95</v>
      </c>
      <c r="J785" s="1" t="s">
        <v>8</v>
      </c>
    </row>
    <row r="786" spans="1:10">
      <c r="A786" s="35"/>
      <c r="B786" s="36"/>
      <c r="C786" s="1">
        <v>2</v>
      </c>
      <c r="D786" s="1">
        <v>101</v>
      </c>
      <c r="E786" s="1">
        <v>168</v>
      </c>
      <c r="F786" s="1" t="s">
        <v>8</v>
      </c>
      <c r="G786" s="1" t="s">
        <v>8</v>
      </c>
      <c r="H786" s="1">
        <v>105</v>
      </c>
      <c r="I786" s="1">
        <v>98</v>
      </c>
      <c r="J786" s="1" t="s">
        <v>8</v>
      </c>
    </row>
    <row r="787" spans="1:10">
      <c r="A787" s="35"/>
      <c r="B787" s="36"/>
      <c r="C787" s="1">
        <v>3</v>
      </c>
      <c r="D787" s="1">
        <v>117</v>
      </c>
      <c r="E787" s="1">
        <v>189</v>
      </c>
      <c r="F787" s="1" t="s">
        <v>8</v>
      </c>
      <c r="G787" s="1" t="s">
        <v>8</v>
      </c>
      <c r="H787" s="1">
        <v>108</v>
      </c>
      <c r="I787" s="1">
        <v>109</v>
      </c>
      <c r="J787" s="1" t="s">
        <v>8</v>
      </c>
    </row>
    <row r="788" spans="1:10">
      <c r="A788" s="35"/>
      <c r="B788" s="36"/>
      <c r="C788" s="1">
        <v>4</v>
      </c>
      <c r="D788" s="1">
        <v>123</v>
      </c>
      <c r="E788" s="1">
        <v>125</v>
      </c>
      <c r="F788" s="1" t="s">
        <v>8</v>
      </c>
      <c r="G788" s="1" t="s">
        <v>8</v>
      </c>
      <c r="H788" s="1">
        <v>122</v>
      </c>
      <c r="I788" s="1">
        <v>121</v>
      </c>
      <c r="J788" s="1" t="s">
        <v>8</v>
      </c>
    </row>
    <row r="789" spans="1:10">
      <c r="A789" s="35"/>
      <c r="B789" s="36"/>
      <c r="C789" s="1">
        <v>5</v>
      </c>
      <c r="D789" s="1">
        <v>147</v>
      </c>
      <c r="E789" s="1">
        <v>146</v>
      </c>
      <c r="F789" s="1" t="s">
        <v>8</v>
      </c>
      <c r="G789" s="1" t="s">
        <v>8</v>
      </c>
      <c r="H789" s="1">
        <v>168</v>
      </c>
      <c r="I789" s="1">
        <v>107</v>
      </c>
      <c r="J789" s="1" t="s">
        <v>8</v>
      </c>
    </row>
    <row r="790" spans="1:10">
      <c r="A790" s="35"/>
      <c r="B790" s="36"/>
      <c r="C790" s="7" t="s">
        <v>6</v>
      </c>
      <c r="D790" s="8">
        <f t="shared" ref="D790" si="235">IF(SUM(D785:D789)=0,"-",SUM(D785:D789))</f>
        <v>625</v>
      </c>
      <c r="E790" s="8">
        <f t="shared" ref="E790:J790" si="236">IF(SUM(E785:E789)=0,"-",SUM(E785:E789))</f>
        <v>786</v>
      </c>
      <c r="F790" s="8" t="str">
        <f t="shared" si="236"/>
        <v>-</v>
      </c>
      <c r="G790" s="8" t="str">
        <f t="shared" si="236"/>
        <v>-</v>
      </c>
      <c r="H790" s="8">
        <f t="shared" si="236"/>
        <v>601</v>
      </c>
      <c r="I790" s="8">
        <f t="shared" si="236"/>
        <v>530</v>
      </c>
      <c r="J790" s="8" t="str">
        <f t="shared" si="236"/>
        <v>-</v>
      </c>
    </row>
    <row r="791" spans="1:10">
      <c r="A791" s="35"/>
      <c r="B791" s="36"/>
      <c r="C791" s="9" t="s">
        <v>7</v>
      </c>
      <c r="D791" s="10">
        <f>IF(D790="-","-",D790/MAX($C785:$C789))</f>
        <v>125</v>
      </c>
      <c r="E791" s="10">
        <f>IF(E790="-","-",E790/MAX($C785:$C789))</f>
        <v>157.19999999999999</v>
      </c>
      <c r="F791" s="10" t="str">
        <f>IF(F790="-","-",F790/ (MAX($C785:$C789)-2))</f>
        <v>-</v>
      </c>
      <c r="G791" s="10" t="str">
        <f>IF(G790="-","-",G790/MAX($C785:$C789))</f>
        <v>-</v>
      </c>
      <c r="H791" s="10">
        <f>IF(H790="-","-",H790/MAX($C785:$C789))</f>
        <v>120.2</v>
      </c>
      <c r="I791" s="10">
        <f>IF(I790="-","-",I790/MAX($C785:$C789))</f>
        <v>106</v>
      </c>
      <c r="J791" s="10" t="str">
        <f>IF(J790="-","-",J790/MAX($C785:$C789))</f>
        <v>-</v>
      </c>
    </row>
    <row r="792" spans="1:10">
      <c r="A792" s="34" t="s">
        <v>105</v>
      </c>
      <c r="B792" s="36">
        <v>45990</v>
      </c>
      <c r="C792" s="1">
        <v>1</v>
      </c>
      <c r="D792" s="1">
        <v>149</v>
      </c>
      <c r="E792" s="1" t="s">
        <v>8</v>
      </c>
      <c r="F792" s="1" t="s">
        <v>8</v>
      </c>
      <c r="G792" s="1" t="s">
        <v>8</v>
      </c>
      <c r="H792" s="1">
        <v>119</v>
      </c>
      <c r="I792" s="1" t="s">
        <v>8</v>
      </c>
      <c r="J792" s="1" t="s">
        <v>8</v>
      </c>
    </row>
    <row r="793" spans="1:10">
      <c r="A793" s="35"/>
      <c r="B793" s="36"/>
      <c r="C793" s="1">
        <v>2</v>
      </c>
      <c r="D793" s="1">
        <v>137</v>
      </c>
      <c r="E793" s="1" t="s">
        <v>8</v>
      </c>
      <c r="F793" s="1" t="s">
        <v>8</v>
      </c>
      <c r="G793" s="1" t="s">
        <v>8</v>
      </c>
      <c r="H793" s="1">
        <v>124</v>
      </c>
      <c r="I793" s="1" t="s">
        <v>8</v>
      </c>
      <c r="J793" s="1" t="s">
        <v>8</v>
      </c>
    </row>
    <row r="794" spans="1:10">
      <c r="A794" s="35"/>
      <c r="B794" s="36"/>
      <c r="C794" s="1">
        <v>3</v>
      </c>
      <c r="D794" s="1">
        <v>181</v>
      </c>
      <c r="E794" s="1" t="s">
        <v>8</v>
      </c>
      <c r="F794" s="1" t="s">
        <v>8</v>
      </c>
      <c r="G794" s="1" t="s">
        <v>8</v>
      </c>
      <c r="H794" s="1">
        <v>113</v>
      </c>
      <c r="I794" s="1" t="s">
        <v>8</v>
      </c>
      <c r="J794" s="1" t="s">
        <v>8</v>
      </c>
    </row>
    <row r="795" spans="1:10">
      <c r="A795" s="35"/>
      <c r="B795" s="36"/>
      <c r="C795" s="1">
        <v>4</v>
      </c>
      <c r="D795" s="1">
        <v>112</v>
      </c>
      <c r="E795" s="1" t="s">
        <v>8</v>
      </c>
      <c r="F795" s="1" t="s">
        <v>8</v>
      </c>
      <c r="G795" s="1" t="s">
        <v>8</v>
      </c>
      <c r="H795" s="1">
        <v>101</v>
      </c>
      <c r="I795" s="1" t="s">
        <v>8</v>
      </c>
      <c r="J795" s="1" t="s">
        <v>8</v>
      </c>
    </row>
    <row r="796" spans="1:10">
      <c r="A796" s="35"/>
      <c r="B796" s="36"/>
      <c r="C796" s="1">
        <v>5</v>
      </c>
      <c r="D796" s="1">
        <v>148</v>
      </c>
      <c r="E796" s="1" t="s">
        <v>8</v>
      </c>
      <c r="F796" s="1" t="s">
        <v>8</v>
      </c>
      <c r="G796" s="1" t="s">
        <v>8</v>
      </c>
      <c r="H796" s="1">
        <v>81</v>
      </c>
      <c r="I796" s="1" t="s">
        <v>8</v>
      </c>
      <c r="J796" s="1" t="s">
        <v>8</v>
      </c>
    </row>
    <row r="797" spans="1:10">
      <c r="A797" s="35"/>
      <c r="B797" s="36"/>
      <c r="C797" s="7" t="s">
        <v>6</v>
      </c>
      <c r="D797" s="8">
        <f t="shared" ref="D797" si="237">IF(SUM(D792:D796)=0,"-",SUM(D792:D796))</f>
        <v>727</v>
      </c>
      <c r="E797" s="8" t="str">
        <f t="shared" ref="E797:J797" si="238">IF(SUM(E792:E796)=0,"-",SUM(E792:E796))</f>
        <v>-</v>
      </c>
      <c r="F797" s="8" t="str">
        <f t="shared" si="238"/>
        <v>-</v>
      </c>
      <c r="G797" s="8" t="str">
        <f t="shared" si="238"/>
        <v>-</v>
      </c>
      <c r="H797" s="8">
        <f t="shared" si="238"/>
        <v>538</v>
      </c>
      <c r="I797" s="8" t="str">
        <f t="shared" si="238"/>
        <v>-</v>
      </c>
      <c r="J797" s="8" t="str">
        <f t="shared" si="238"/>
        <v>-</v>
      </c>
    </row>
    <row r="798" spans="1:10">
      <c r="A798" s="35"/>
      <c r="B798" s="36"/>
      <c r="C798" s="9" t="s">
        <v>7</v>
      </c>
      <c r="D798" s="10">
        <f>IF(D797="-","-",D797/MAX($C792:$C796))</f>
        <v>145.4</v>
      </c>
      <c r="E798" s="10" t="str">
        <f>IF(E797="-","-",E797/MAX($C792:$C796))</f>
        <v>-</v>
      </c>
      <c r="F798" s="10" t="str">
        <f>IF(F797="-","-",F797/ (MAX($C792:$C796)-2))</f>
        <v>-</v>
      </c>
      <c r="G798" s="10" t="str">
        <f>IF(G797="-","-",G797/MAX($C792:$C796))</f>
        <v>-</v>
      </c>
      <c r="H798" s="10">
        <f>IF(H797="-","-",H797/MAX($C792:$C796))</f>
        <v>107.6</v>
      </c>
      <c r="I798" s="10" t="str">
        <f>IF(I797="-","-",I797/MAX($C792:$C796))</f>
        <v>-</v>
      </c>
      <c r="J798" s="10" t="str">
        <f>IF(J797="-","-",J797/MAX($C792:$C796))</f>
        <v>-</v>
      </c>
    </row>
    <row r="799" spans="1:10">
      <c r="A799" s="34" t="s">
        <v>106</v>
      </c>
      <c r="B799" s="36">
        <v>46017</v>
      </c>
      <c r="C799" s="1">
        <v>1</v>
      </c>
      <c r="D799" s="1">
        <v>159</v>
      </c>
      <c r="E799" s="1">
        <v>134</v>
      </c>
      <c r="F799" s="1" t="s">
        <v>8</v>
      </c>
      <c r="G799" s="1" t="s">
        <v>8</v>
      </c>
      <c r="H799" s="1">
        <v>124</v>
      </c>
      <c r="I799" s="1">
        <v>71</v>
      </c>
      <c r="J799" s="1" t="s">
        <v>8</v>
      </c>
    </row>
    <row r="800" spans="1:10">
      <c r="A800" s="35"/>
      <c r="B800" s="36"/>
      <c r="C800" s="1">
        <v>2</v>
      </c>
      <c r="D800" s="1">
        <v>129</v>
      </c>
      <c r="E800" s="1">
        <v>145</v>
      </c>
      <c r="F800" s="1" t="s">
        <v>8</v>
      </c>
      <c r="G800" s="1" t="s">
        <v>8</v>
      </c>
      <c r="H800" s="1">
        <v>96</v>
      </c>
      <c r="I800" s="1">
        <v>109</v>
      </c>
      <c r="J800" s="1" t="s">
        <v>8</v>
      </c>
    </row>
    <row r="801" spans="1:10">
      <c r="A801" s="35"/>
      <c r="B801" s="36"/>
      <c r="C801" s="1">
        <v>3</v>
      </c>
      <c r="D801" s="1">
        <v>85</v>
      </c>
      <c r="E801" s="1">
        <v>172</v>
      </c>
      <c r="F801" s="1" t="s">
        <v>8</v>
      </c>
      <c r="G801" s="1" t="s">
        <v>8</v>
      </c>
      <c r="H801" s="1">
        <v>102</v>
      </c>
      <c r="I801" s="1">
        <v>92</v>
      </c>
      <c r="J801" s="1" t="s">
        <v>8</v>
      </c>
    </row>
    <row r="802" spans="1:10">
      <c r="A802" s="35"/>
      <c r="B802" s="36"/>
      <c r="C802" s="1">
        <v>4</v>
      </c>
      <c r="D802" s="1">
        <v>167</v>
      </c>
      <c r="E802" s="1">
        <v>160</v>
      </c>
      <c r="F802" s="1" t="s">
        <v>8</v>
      </c>
      <c r="G802" s="1" t="s">
        <v>8</v>
      </c>
      <c r="H802" s="1">
        <v>132</v>
      </c>
      <c r="I802" s="1">
        <v>104</v>
      </c>
      <c r="J802" s="1" t="s">
        <v>8</v>
      </c>
    </row>
    <row r="803" spans="1:10">
      <c r="A803" s="35"/>
      <c r="B803" s="36"/>
      <c r="C803" s="1">
        <v>5</v>
      </c>
      <c r="D803" s="1">
        <v>168</v>
      </c>
      <c r="E803" s="1">
        <v>131</v>
      </c>
      <c r="F803" s="1" t="s">
        <v>8</v>
      </c>
      <c r="G803" s="1" t="s">
        <v>8</v>
      </c>
      <c r="H803" s="1">
        <v>147</v>
      </c>
      <c r="I803" s="1">
        <v>78</v>
      </c>
      <c r="J803" s="1" t="s">
        <v>8</v>
      </c>
    </row>
    <row r="804" spans="1:10">
      <c r="A804" s="35"/>
      <c r="B804" s="36"/>
      <c r="C804" s="7" t="s">
        <v>6</v>
      </c>
      <c r="D804" s="8">
        <f t="shared" ref="D804" si="239">IF(SUM(D799:D803)=0,"-",SUM(D799:D803))</f>
        <v>708</v>
      </c>
      <c r="E804" s="8">
        <f t="shared" ref="E804:J804" si="240">IF(SUM(E799:E803)=0,"-",SUM(E799:E803))</f>
        <v>742</v>
      </c>
      <c r="F804" s="8" t="str">
        <f t="shared" si="240"/>
        <v>-</v>
      </c>
      <c r="G804" s="8" t="str">
        <f t="shared" si="240"/>
        <v>-</v>
      </c>
      <c r="H804" s="8">
        <f t="shared" si="240"/>
        <v>601</v>
      </c>
      <c r="I804" s="8">
        <f t="shared" si="240"/>
        <v>454</v>
      </c>
      <c r="J804" s="8" t="str">
        <f t="shared" si="240"/>
        <v>-</v>
      </c>
    </row>
    <row r="805" spans="1:10">
      <c r="A805" s="35"/>
      <c r="B805" s="36"/>
      <c r="C805" s="9" t="s">
        <v>7</v>
      </c>
      <c r="D805" s="10">
        <f>IF(D804="-","-",D804/MAX($C799:$C803))</f>
        <v>141.6</v>
      </c>
      <c r="E805" s="10">
        <f>IF(E804="-","-",E804/MAX($C799:$C803))</f>
        <v>148.4</v>
      </c>
      <c r="F805" s="10" t="str">
        <f>IF(F804="-","-",F804/ (MAX($C799:$C803)-2))</f>
        <v>-</v>
      </c>
      <c r="G805" s="10" t="str">
        <f>IF(G804="-","-",G804/MAX($C799:$C803))</f>
        <v>-</v>
      </c>
      <c r="H805" s="10">
        <f>IF(H804="-","-",H804/MAX($C799:$C803))</f>
        <v>120.2</v>
      </c>
      <c r="I805" s="10">
        <f>IF(I804="-","-",I804/MAX($C799:$C803))</f>
        <v>90.8</v>
      </c>
      <c r="J805" s="10" t="str">
        <f>IF(J804="-","-",J804/MAX($C799:$C803))</f>
        <v>-</v>
      </c>
    </row>
    <row r="806" spans="1:10">
      <c r="A806" s="34" t="s">
        <v>107</v>
      </c>
      <c r="B806" s="36">
        <v>46024</v>
      </c>
      <c r="C806" s="1">
        <v>1</v>
      </c>
      <c r="D806" s="1">
        <v>145</v>
      </c>
      <c r="E806" s="1">
        <v>134</v>
      </c>
      <c r="F806" s="1" t="s">
        <v>8</v>
      </c>
      <c r="G806" s="1" t="s">
        <v>8</v>
      </c>
      <c r="H806" s="1">
        <v>130</v>
      </c>
      <c r="I806" s="1">
        <v>44</v>
      </c>
      <c r="J806" s="1" t="s">
        <v>8</v>
      </c>
    </row>
    <row r="807" spans="1:10">
      <c r="A807" s="35"/>
      <c r="B807" s="36"/>
      <c r="C807" s="1">
        <v>2</v>
      </c>
      <c r="D807" s="1">
        <v>116</v>
      </c>
      <c r="E807" s="1">
        <v>129</v>
      </c>
      <c r="F807" s="1" t="s">
        <v>8</v>
      </c>
      <c r="G807" s="1" t="s">
        <v>8</v>
      </c>
      <c r="H807" s="1">
        <v>81</v>
      </c>
      <c r="I807" s="1">
        <v>75</v>
      </c>
      <c r="J807" s="1" t="s">
        <v>8</v>
      </c>
    </row>
    <row r="808" spans="1:10">
      <c r="A808" s="35"/>
      <c r="B808" s="36"/>
      <c r="C808" s="1">
        <v>3</v>
      </c>
      <c r="D808" s="1">
        <v>116</v>
      </c>
      <c r="E808" s="1">
        <v>125</v>
      </c>
      <c r="F808" s="1" t="s">
        <v>8</v>
      </c>
      <c r="G808" s="1" t="s">
        <v>8</v>
      </c>
      <c r="H808" s="1">
        <v>88</v>
      </c>
      <c r="I808" s="1">
        <v>85</v>
      </c>
      <c r="J808" s="1" t="s">
        <v>8</v>
      </c>
    </row>
    <row r="809" spans="1:10">
      <c r="A809" s="35"/>
      <c r="B809" s="36"/>
      <c r="C809" s="1">
        <v>4</v>
      </c>
      <c r="D809" s="1">
        <v>133</v>
      </c>
      <c r="E809" s="1">
        <v>116</v>
      </c>
      <c r="F809" s="1" t="s">
        <v>8</v>
      </c>
      <c r="G809" s="1" t="s">
        <v>8</v>
      </c>
      <c r="H809" s="1">
        <v>114</v>
      </c>
      <c r="I809" s="1">
        <v>99</v>
      </c>
      <c r="J809" s="1" t="s">
        <v>8</v>
      </c>
    </row>
    <row r="810" spans="1:10">
      <c r="A810" s="35"/>
      <c r="B810" s="36"/>
      <c r="C810" s="1">
        <v>5</v>
      </c>
      <c r="D810" s="1">
        <v>154</v>
      </c>
      <c r="E810" s="1">
        <v>133</v>
      </c>
      <c r="F810" s="1" t="s">
        <v>8</v>
      </c>
      <c r="G810" s="1" t="s">
        <v>8</v>
      </c>
      <c r="H810" s="1">
        <v>90</v>
      </c>
      <c r="I810" s="1">
        <v>87</v>
      </c>
      <c r="J810" s="1" t="s">
        <v>8</v>
      </c>
    </row>
    <row r="811" spans="1:10">
      <c r="A811" s="35"/>
      <c r="B811" s="36"/>
      <c r="C811" s="7" t="s">
        <v>6</v>
      </c>
      <c r="D811" s="8">
        <f t="shared" ref="D811" si="241">IF(SUM(D806:D810)=0,"-",SUM(D806:D810))</f>
        <v>664</v>
      </c>
      <c r="E811" s="8">
        <f t="shared" ref="E811:J811" si="242">IF(SUM(E806:E810)=0,"-",SUM(E806:E810))</f>
        <v>637</v>
      </c>
      <c r="F811" s="8" t="str">
        <f t="shared" si="242"/>
        <v>-</v>
      </c>
      <c r="G811" s="8" t="str">
        <f t="shared" si="242"/>
        <v>-</v>
      </c>
      <c r="H811" s="8">
        <f t="shared" si="242"/>
        <v>503</v>
      </c>
      <c r="I811" s="8">
        <f t="shared" si="242"/>
        <v>390</v>
      </c>
      <c r="J811" s="8" t="str">
        <f t="shared" si="242"/>
        <v>-</v>
      </c>
    </row>
    <row r="812" spans="1:10">
      <c r="A812" s="35"/>
      <c r="B812" s="36"/>
      <c r="C812" s="9" t="s">
        <v>7</v>
      </c>
      <c r="D812" s="10">
        <f>IF(D811="-","-",D811/MAX($C806:$C810))</f>
        <v>132.80000000000001</v>
      </c>
      <c r="E812" s="10">
        <f>IF(E811="-","-",E811/MAX($C806:$C810))</f>
        <v>127.4</v>
      </c>
      <c r="F812" s="10" t="str">
        <f>IF(F811="-","-",F811/ (MAX($C806:$C810)-2))</f>
        <v>-</v>
      </c>
      <c r="G812" s="10" t="str">
        <f>IF(G811="-","-",G811/MAX($C806:$C810))</f>
        <v>-</v>
      </c>
      <c r="H812" s="10">
        <f>IF(H811="-","-",H811/MAX($C806:$C810))</f>
        <v>100.6</v>
      </c>
      <c r="I812" s="10">
        <f>IF(I811="-","-",I811/MAX($C806:$C810))</f>
        <v>78</v>
      </c>
      <c r="J812" s="10" t="str">
        <f>IF(J811="-","-",J811/MAX($C806:$C810))</f>
        <v>-</v>
      </c>
    </row>
    <row r="813" spans="1:10">
      <c r="A813" s="34" t="s">
        <v>108</v>
      </c>
      <c r="B813" s="36">
        <v>46031</v>
      </c>
      <c r="C813" s="1">
        <v>1</v>
      </c>
      <c r="D813" s="1">
        <v>137</v>
      </c>
      <c r="E813" s="1">
        <v>114</v>
      </c>
      <c r="F813" s="1" t="s">
        <v>8</v>
      </c>
      <c r="G813" s="1" t="s">
        <v>8</v>
      </c>
      <c r="H813" s="1">
        <v>105</v>
      </c>
      <c r="I813" s="1">
        <v>112</v>
      </c>
      <c r="J813" s="1" t="s">
        <v>8</v>
      </c>
    </row>
    <row r="814" spans="1:10">
      <c r="A814" s="35"/>
      <c r="B814" s="36"/>
      <c r="C814" s="1">
        <v>2</v>
      </c>
      <c r="D814" s="1">
        <v>145</v>
      </c>
      <c r="E814" s="1">
        <v>118</v>
      </c>
      <c r="F814" s="1" t="s">
        <v>8</v>
      </c>
      <c r="G814" s="1" t="s">
        <v>8</v>
      </c>
      <c r="H814" s="1">
        <v>82</v>
      </c>
      <c r="I814" s="1">
        <v>114</v>
      </c>
      <c r="J814" s="1" t="s">
        <v>8</v>
      </c>
    </row>
    <row r="815" spans="1:10">
      <c r="A815" s="35"/>
      <c r="B815" s="36"/>
      <c r="C815" s="1">
        <v>3</v>
      </c>
      <c r="D815" s="1">
        <v>165</v>
      </c>
      <c r="E815" s="1">
        <v>116</v>
      </c>
      <c r="F815" s="1" t="s">
        <v>8</v>
      </c>
      <c r="G815" s="1" t="s">
        <v>8</v>
      </c>
      <c r="H815" s="1">
        <v>87</v>
      </c>
      <c r="I815" s="1">
        <v>99</v>
      </c>
      <c r="J815" s="1" t="s">
        <v>8</v>
      </c>
    </row>
    <row r="816" spans="1:10">
      <c r="A816" s="35"/>
      <c r="B816" s="36"/>
      <c r="C816" s="1">
        <v>4</v>
      </c>
      <c r="D816" s="1">
        <v>105</v>
      </c>
      <c r="E816" s="1">
        <v>134</v>
      </c>
      <c r="F816" s="1" t="s">
        <v>8</v>
      </c>
      <c r="G816" s="1" t="s">
        <v>8</v>
      </c>
      <c r="H816" s="1">
        <v>137</v>
      </c>
      <c r="I816" s="1">
        <v>89</v>
      </c>
      <c r="J816" s="1" t="s">
        <v>8</v>
      </c>
    </row>
    <row r="817" spans="1:10">
      <c r="A817" s="35"/>
      <c r="B817" s="36"/>
      <c r="C817" s="1">
        <v>5</v>
      </c>
      <c r="D817" s="1">
        <v>152</v>
      </c>
      <c r="E817" s="1">
        <v>138</v>
      </c>
      <c r="F817" s="1" t="s">
        <v>8</v>
      </c>
      <c r="G817" s="1" t="s">
        <v>8</v>
      </c>
      <c r="H817" s="1">
        <v>94</v>
      </c>
      <c r="I817" s="1">
        <v>89</v>
      </c>
      <c r="J817" s="1" t="s">
        <v>8</v>
      </c>
    </row>
    <row r="818" spans="1:10">
      <c r="A818" s="35"/>
      <c r="B818" s="36"/>
      <c r="C818" s="7" t="s">
        <v>6</v>
      </c>
      <c r="D818" s="8">
        <f t="shared" ref="D818" si="243">IF(SUM(D813:D817)=0,"-",SUM(D813:D817))</f>
        <v>704</v>
      </c>
      <c r="E818" s="8">
        <f t="shared" ref="E818:J818" si="244">IF(SUM(E813:E817)=0,"-",SUM(E813:E817))</f>
        <v>620</v>
      </c>
      <c r="F818" s="8" t="str">
        <f t="shared" si="244"/>
        <v>-</v>
      </c>
      <c r="G818" s="8" t="str">
        <f t="shared" si="244"/>
        <v>-</v>
      </c>
      <c r="H818" s="8">
        <f t="shared" si="244"/>
        <v>505</v>
      </c>
      <c r="I818" s="8">
        <f t="shared" si="244"/>
        <v>503</v>
      </c>
      <c r="J818" s="8" t="str">
        <f t="shared" si="244"/>
        <v>-</v>
      </c>
    </row>
    <row r="819" spans="1:10">
      <c r="A819" s="35"/>
      <c r="B819" s="36"/>
      <c r="C819" s="9" t="s">
        <v>7</v>
      </c>
      <c r="D819" s="10">
        <f>IF(D818="-","-",D818/MAX($C813:$C817))</f>
        <v>140.80000000000001</v>
      </c>
      <c r="E819" s="10">
        <f>IF(E818="-","-",E818/MAX($C813:$C817))</f>
        <v>124</v>
      </c>
      <c r="F819" s="10" t="str">
        <f>IF(F818="-","-",F818/ (MAX($C813:$C817)-2))</f>
        <v>-</v>
      </c>
      <c r="G819" s="10" t="str">
        <f>IF(G818="-","-",G818/MAX($C813:$C817))</f>
        <v>-</v>
      </c>
      <c r="H819" s="10">
        <f>IF(H818="-","-",H818/MAX($C813:$C817))</f>
        <v>101</v>
      </c>
      <c r="I819" s="10">
        <f>IF(I818="-","-",I818/MAX($C813:$C817))</f>
        <v>100.6</v>
      </c>
      <c r="J819" s="10" t="str">
        <f>IF(J818="-","-",J818/MAX($C813:$C817))</f>
        <v>-</v>
      </c>
    </row>
    <row r="820" spans="1:10">
      <c r="A820" s="34" t="s">
        <v>109</v>
      </c>
      <c r="B820" s="36">
        <v>46059</v>
      </c>
      <c r="C820" s="1">
        <v>1</v>
      </c>
      <c r="D820" s="1">
        <v>103</v>
      </c>
      <c r="E820" s="1">
        <v>133</v>
      </c>
      <c r="F820" s="1" t="s">
        <v>8</v>
      </c>
      <c r="G820" s="1" t="s">
        <v>8</v>
      </c>
      <c r="H820" s="1">
        <v>96</v>
      </c>
      <c r="I820" s="1" t="s">
        <v>8</v>
      </c>
      <c r="J820" s="1" t="s">
        <v>8</v>
      </c>
    </row>
    <row r="821" spans="1:10">
      <c r="A821" s="35"/>
      <c r="B821" s="36"/>
      <c r="C821" s="1">
        <v>2</v>
      </c>
      <c r="D821" s="1">
        <v>129</v>
      </c>
      <c r="E821" s="1">
        <v>155</v>
      </c>
      <c r="F821" s="1" t="s">
        <v>8</v>
      </c>
      <c r="G821" s="1" t="s">
        <v>8</v>
      </c>
      <c r="H821" s="1">
        <v>88</v>
      </c>
      <c r="I821" s="1" t="s">
        <v>8</v>
      </c>
      <c r="J821" s="1" t="s">
        <v>8</v>
      </c>
    </row>
    <row r="822" spans="1:10">
      <c r="A822" s="35"/>
      <c r="B822" s="36"/>
      <c r="C822" s="1">
        <v>3</v>
      </c>
      <c r="D822" s="1">
        <v>154</v>
      </c>
      <c r="E822" s="1">
        <v>122</v>
      </c>
      <c r="F822" s="1" t="s">
        <v>8</v>
      </c>
      <c r="G822" s="1" t="s">
        <v>8</v>
      </c>
      <c r="H822" s="1">
        <v>79</v>
      </c>
      <c r="I822" s="1" t="s">
        <v>8</v>
      </c>
      <c r="J822" s="1" t="s">
        <v>8</v>
      </c>
    </row>
    <row r="823" spans="1:10">
      <c r="A823" s="35"/>
      <c r="B823" s="36"/>
      <c r="C823" s="1">
        <v>4</v>
      </c>
      <c r="D823" s="1">
        <v>138</v>
      </c>
      <c r="E823" s="1">
        <v>161</v>
      </c>
      <c r="F823" s="1" t="s">
        <v>8</v>
      </c>
      <c r="G823" s="1" t="s">
        <v>8</v>
      </c>
      <c r="H823" s="1">
        <v>90</v>
      </c>
      <c r="I823" s="1" t="s">
        <v>8</v>
      </c>
      <c r="J823" s="1" t="s">
        <v>8</v>
      </c>
    </row>
    <row r="824" spans="1:10">
      <c r="A824" s="35"/>
      <c r="B824" s="36"/>
      <c r="C824" s="1">
        <v>5</v>
      </c>
      <c r="D824" s="1">
        <v>126</v>
      </c>
      <c r="E824" s="1">
        <v>129</v>
      </c>
      <c r="F824" s="1" t="s">
        <v>8</v>
      </c>
      <c r="G824" s="1" t="s">
        <v>8</v>
      </c>
      <c r="H824" s="1">
        <v>114</v>
      </c>
      <c r="I824" s="1" t="s">
        <v>8</v>
      </c>
      <c r="J824" s="1" t="s">
        <v>8</v>
      </c>
    </row>
    <row r="825" spans="1:10">
      <c r="A825" s="35"/>
      <c r="B825" s="36"/>
      <c r="C825" s="7" t="s">
        <v>6</v>
      </c>
      <c r="D825" s="8">
        <f t="shared" ref="D825" si="245">IF(SUM(D820:D824)=0,"-",SUM(D820:D824))</f>
        <v>650</v>
      </c>
      <c r="E825" s="8">
        <f t="shared" ref="E825:J825" si="246">IF(SUM(E820:E824)=0,"-",SUM(E820:E824))</f>
        <v>700</v>
      </c>
      <c r="F825" s="8" t="str">
        <f t="shared" si="246"/>
        <v>-</v>
      </c>
      <c r="G825" s="8" t="str">
        <f t="shared" si="246"/>
        <v>-</v>
      </c>
      <c r="H825" s="8">
        <f t="shared" si="246"/>
        <v>467</v>
      </c>
      <c r="I825" s="8" t="str">
        <f t="shared" si="246"/>
        <v>-</v>
      </c>
      <c r="J825" s="8" t="str">
        <f t="shared" si="246"/>
        <v>-</v>
      </c>
    </row>
    <row r="826" spans="1:10">
      <c r="A826" s="35"/>
      <c r="B826" s="36"/>
      <c r="C826" s="9" t="s">
        <v>7</v>
      </c>
      <c r="D826" s="10">
        <f>IF(D825="-","-",D825/MAX($C820:$C824))</f>
        <v>130</v>
      </c>
      <c r="E826" s="10">
        <f>IF(E825="-","-",E825/MAX($C820:$C824))</f>
        <v>140</v>
      </c>
      <c r="F826" s="10" t="str">
        <f>IF(F825="-","-",F825/ (MAX($C820:$C824)-2))</f>
        <v>-</v>
      </c>
      <c r="G826" s="10" t="str">
        <f>IF(G825="-","-",G825/MAX($C820:$C824))</f>
        <v>-</v>
      </c>
      <c r="H826" s="10">
        <f>IF(H825="-","-",H825/MAX($C820:$C824))</f>
        <v>93.4</v>
      </c>
      <c r="I826" s="10" t="str">
        <f>IF(I825="-","-",I825/MAX($C820:$C824))</f>
        <v>-</v>
      </c>
      <c r="J826" s="10" t="str">
        <f>IF(J825="-","-",J825/MAX($C820:$C824))</f>
        <v>-</v>
      </c>
    </row>
    <row r="827" spans="1:10">
      <c r="A827" s="34" t="s">
        <v>110</v>
      </c>
      <c r="B827" s="36">
        <v>46071</v>
      </c>
      <c r="C827" s="1">
        <v>1</v>
      </c>
      <c r="D827" s="1">
        <v>136</v>
      </c>
      <c r="E827" s="1" t="s">
        <v>8</v>
      </c>
      <c r="F827" s="1" t="s">
        <v>8</v>
      </c>
      <c r="G827" s="1" t="s">
        <v>8</v>
      </c>
      <c r="H827" s="1">
        <v>87</v>
      </c>
      <c r="I827" s="1" t="s">
        <v>8</v>
      </c>
      <c r="J827" s="1" t="s">
        <v>8</v>
      </c>
    </row>
    <row r="828" spans="1:10">
      <c r="A828" s="35"/>
      <c r="B828" s="36"/>
      <c r="C828" s="1">
        <v>2</v>
      </c>
      <c r="D828" s="1">
        <v>120</v>
      </c>
      <c r="E828" s="1" t="s">
        <v>8</v>
      </c>
      <c r="F828" s="1" t="s">
        <v>8</v>
      </c>
      <c r="G828" s="1" t="s">
        <v>8</v>
      </c>
      <c r="H828" s="1">
        <v>76</v>
      </c>
      <c r="I828" s="1" t="s">
        <v>8</v>
      </c>
      <c r="J828" s="1" t="s">
        <v>8</v>
      </c>
    </row>
    <row r="829" spans="1:10">
      <c r="A829" s="35"/>
      <c r="B829" s="36"/>
      <c r="C829" s="1">
        <v>3</v>
      </c>
      <c r="D829" s="1">
        <v>131</v>
      </c>
      <c r="E829" s="1" t="s">
        <v>8</v>
      </c>
      <c r="F829" s="1" t="s">
        <v>8</v>
      </c>
      <c r="G829" s="1" t="s">
        <v>8</v>
      </c>
      <c r="H829" s="1">
        <v>113</v>
      </c>
      <c r="I829" s="1" t="s">
        <v>8</v>
      </c>
      <c r="J829" s="1" t="s">
        <v>8</v>
      </c>
    </row>
    <row r="830" spans="1:10">
      <c r="A830" s="35"/>
      <c r="B830" s="36"/>
      <c r="C830" s="1">
        <v>4</v>
      </c>
      <c r="D830" s="1">
        <v>163</v>
      </c>
      <c r="E830" s="1" t="s">
        <v>8</v>
      </c>
      <c r="F830" s="1" t="s">
        <v>8</v>
      </c>
      <c r="G830" s="1" t="s">
        <v>8</v>
      </c>
      <c r="H830" s="1">
        <v>128</v>
      </c>
      <c r="I830" s="1" t="s">
        <v>8</v>
      </c>
      <c r="J830" s="1" t="s">
        <v>8</v>
      </c>
    </row>
    <row r="831" spans="1:10">
      <c r="A831" s="35"/>
      <c r="B831" s="36"/>
      <c r="C831" s="1">
        <v>5</v>
      </c>
      <c r="D831" s="1">
        <v>123</v>
      </c>
      <c r="E831" s="1" t="s">
        <v>8</v>
      </c>
      <c r="F831" s="1" t="s">
        <v>8</v>
      </c>
      <c r="G831" s="1" t="s">
        <v>8</v>
      </c>
      <c r="H831" s="1">
        <v>100</v>
      </c>
      <c r="I831" s="1" t="s">
        <v>8</v>
      </c>
      <c r="J831" s="1" t="s">
        <v>8</v>
      </c>
    </row>
    <row r="832" spans="1:10">
      <c r="A832" s="35"/>
      <c r="B832" s="36"/>
      <c r="C832" s="7" t="s">
        <v>6</v>
      </c>
      <c r="D832" s="8">
        <f t="shared" ref="D832" si="247">IF(SUM(D827:D831)=0,"-",SUM(D827:D831))</f>
        <v>673</v>
      </c>
      <c r="E832" s="8" t="str">
        <f t="shared" ref="E832:J832" si="248">IF(SUM(E827:E831)=0,"-",SUM(E827:E831))</f>
        <v>-</v>
      </c>
      <c r="F832" s="8" t="str">
        <f t="shared" si="248"/>
        <v>-</v>
      </c>
      <c r="G832" s="8" t="str">
        <f t="shared" si="248"/>
        <v>-</v>
      </c>
      <c r="H832" s="8">
        <f t="shared" si="248"/>
        <v>504</v>
      </c>
      <c r="I832" s="8" t="str">
        <f t="shared" si="248"/>
        <v>-</v>
      </c>
      <c r="J832" s="8" t="str">
        <f t="shared" si="248"/>
        <v>-</v>
      </c>
    </row>
    <row r="833" spans="1:10">
      <c r="A833" s="35"/>
      <c r="B833" s="36"/>
      <c r="C833" s="9" t="s">
        <v>7</v>
      </c>
      <c r="D833" s="10">
        <f>IF(D832="-","-",D832/MAX($C827:$C831))</f>
        <v>134.6</v>
      </c>
      <c r="E833" s="10" t="str">
        <f>IF(E832="-","-",E832/MAX($C827:$C831))</f>
        <v>-</v>
      </c>
      <c r="F833" s="10" t="str">
        <f>IF(F832="-","-",F832/ (MAX($C827:$C831)-2))</f>
        <v>-</v>
      </c>
      <c r="G833" s="10" t="str">
        <f>IF(G832="-","-",G832/MAX($C827:$C831))</f>
        <v>-</v>
      </c>
      <c r="H833" s="10">
        <f>IF(H832="-","-",H832/MAX($C827:$C831))</f>
        <v>100.8</v>
      </c>
      <c r="I833" s="10" t="str">
        <f>IF(I832="-","-",I832/MAX($C827:$C831))</f>
        <v>-</v>
      </c>
      <c r="J833" s="10" t="str">
        <f>IF(J832="-","-",J832/MAX($C827:$C831))</f>
        <v>-</v>
      </c>
    </row>
    <row r="834" spans="1:10">
      <c r="A834" s="34" t="s">
        <v>111</v>
      </c>
      <c r="B834" s="36">
        <v>46072</v>
      </c>
      <c r="C834" s="1">
        <v>1</v>
      </c>
      <c r="D834" s="1">
        <v>119</v>
      </c>
      <c r="E834" s="1">
        <v>137</v>
      </c>
      <c r="F834" s="1" t="s">
        <v>8</v>
      </c>
      <c r="G834" s="1" t="s">
        <v>8</v>
      </c>
      <c r="H834" s="1">
        <v>137</v>
      </c>
      <c r="I834" s="1" t="s">
        <v>8</v>
      </c>
      <c r="J834" s="1" t="s">
        <v>8</v>
      </c>
    </row>
    <row r="835" spans="1:10">
      <c r="A835" s="35"/>
      <c r="B835" s="36"/>
      <c r="C835" s="1">
        <v>2</v>
      </c>
      <c r="D835" s="1">
        <v>112</v>
      </c>
      <c r="E835" s="1">
        <v>125</v>
      </c>
      <c r="F835" s="1" t="s">
        <v>8</v>
      </c>
      <c r="G835" s="1" t="s">
        <v>8</v>
      </c>
      <c r="H835" s="1">
        <v>103</v>
      </c>
      <c r="I835" s="1" t="s">
        <v>8</v>
      </c>
      <c r="J835" s="1" t="s">
        <v>8</v>
      </c>
    </row>
    <row r="836" spans="1:10">
      <c r="A836" s="35"/>
      <c r="B836" s="36"/>
      <c r="C836" s="1">
        <v>3</v>
      </c>
      <c r="D836" s="1">
        <v>85</v>
      </c>
      <c r="E836" s="1">
        <v>126</v>
      </c>
      <c r="F836" s="1" t="s">
        <v>8</v>
      </c>
      <c r="G836" s="1" t="s">
        <v>8</v>
      </c>
      <c r="H836" s="1">
        <v>152</v>
      </c>
      <c r="I836" s="1" t="s">
        <v>8</v>
      </c>
      <c r="J836" s="1" t="s">
        <v>8</v>
      </c>
    </row>
    <row r="837" spans="1:10">
      <c r="A837" s="35"/>
      <c r="B837" s="36"/>
      <c r="C837" s="1">
        <v>4</v>
      </c>
      <c r="D837" s="1">
        <v>112</v>
      </c>
      <c r="E837" s="1">
        <v>136</v>
      </c>
      <c r="F837" s="1" t="s">
        <v>8</v>
      </c>
      <c r="G837" s="1" t="s">
        <v>8</v>
      </c>
      <c r="H837" s="1">
        <v>143</v>
      </c>
      <c r="I837" s="1" t="s">
        <v>8</v>
      </c>
      <c r="J837" s="1" t="s">
        <v>8</v>
      </c>
    </row>
    <row r="838" spans="1:10">
      <c r="A838" s="35"/>
      <c r="B838" s="36"/>
      <c r="C838" s="1">
        <v>5</v>
      </c>
      <c r="D838" s="1">
        <v>109</v>
      </c>
      <c r="E838" s="1">
        <v>143</v>
      </c>
      <c r="F838" s="1" t="s">
        <v>8</v>
      </c>
      <c r="G838" s="1" t="s">
        <v>8</v>
      </c>
      <c r="H838" s="1">
        <v>115</v>
      </c>
      <c r="I838" s="1" t="s">
        <v>8</v>
      </c>
      <c r="J838" s="1" t="s">
        <v>8</v>
      </c>
    </row>
    <row r="839" spans="1:10">
      <c r="A839" s="35"/>
      <c r="B839" s="36"/>
      <c r="C839" s="7" t="s">
        <v>6</v>
      </c>
      <c r="D839" s="8">
        <f t="shared" ref="D839" si="249">IF(SUM(D834:D838)=0,"-",SUM(D834:D838))</f>
        <v>537</v>
      </c>
      <c r="E839" s="8">
        <f t="shared" ref="E839:J839" si="250">IF(SUM(E834:E838)=0,"-",SUM(E834:E838))</f>
        <v>667</v>
      </c>
      <c r="F839" s="8" t="str">
        <f t="shared" si="250"/>
        <v>-</v>
      </c>
      <c r="G839" s="8" t="str">
        <f t="shared" si="250"/>
        <v>-</v>
      </c>
      <c r="H839" s="8">
        <f t="shared" si="250"/>
        <v>650</v>
      </c>
      <c r="I839" s="8" t="str">
        <f t="shared" si="250"/>
        <v>-</v>
      </c>
      <c r="J839" s="8" t="str">
        <f t="shared" si="250"/>
        <v>-</v>
      </c>
    </row>
    <row r="840" spans="1:10">
      <c r="A840" s="35"/>
      <c r="B840" s="36"/>
      <c r="C840" s="9" t="s">
        <v>7</v>
      </c>
      <c r="D840" s="10">
        <f>IF(D839="-","-",D839/MAX($C834:$C838))</f>
        <v>107.4</v>
      </c>
      <c r="E840" s="10">
        <f>IF(E839="-","-",E839/MAX($C834:$C838))</f>
        <v>133.4</v>
      </c>
      <c r="F840" s="10" t="str">
        <f>IF(F839="-","-",F839/ (MAX($C834:$C838)-2))</f>
        <v>-</v>
      </c>
      <c r="G840" s="10" t="str">
        <f>IF(G839="-","-",G839/MAX($C834:$C838))</f>
        <v>-</v>
      </c>
      <c r="H840" s="10">
        <f>IF(H839="-","-",H839/MAX($C834:$C838))</f>
        <v>130</v>
      </c>
      <c r="I840" s="10" t="str">
        <f>IF(I839="-","-",I839/MAX($C834:$C838))</f>
        <v>-</v>
      </c>
      <c r="J840" s="10" t="str">
        <f>IF(J839="-","-",J839/MAX($C834:$C838))</f>
        <v>-</v>
      </c>
    </row>
    <row r="841" spans="1:10">
      <c r="A841" s="34" t="s">
        <v>112</v>
      </c>
      <c r="B841" s="36">
        <v>46103</v>
      </c>
      <c r="C841" s="1">
        <v>1</v>
      </c>
      <c r="D841" s="1">
        <v>132</v>
      </c>
      <c r="E841" s="1" t="s">
        <v>8</v>
      </c>
      <c r="F841" s="1" t="s">
        <v>8</v>
      </c>
      <c r="G841" s="1" t="s">
        <v>8</v>
      </c>
      <c r="H841" s="1">
        <v>98</v>
      </c>
      <c r="I841" s="1">
        <v>117</v>
      </c>
      <c r="J841" s="1" t="s">
        <v>8</v>
      </c>
    </row>
    <row r="842" spans="1:10">
      <c r="A842" s="35"/>
      <c r="B842" s="36"/>
      <c r="C842" s="1">
        <v>2</v>
      </c>
      <c r="D842" s="1">
        <v>143</v>
      </c>
      <c r="E842" s="1" t="s">
        <v>8</v>
      </c>
      <c r="F842" s="1" t="s">
        <v>8</v>
      </c>
      <c r="G842" s="1" t="s">
        <v>8</v>
      </c>
      <c r="H842" s="1">
        <v>97</v>
      </c>
      <c r="I842" s="1">
        <v>92</v>
      </c>
      <c r="J842" s="1" t="s">
        <v>8</v>
      </c>
    </row>
    <row r="843" spans="1:10">
      <c r="A843" s="35"/>
      <c r="B843" s="36"/>
      <c r="C843" s="1">
        <v>3</v>
      </c>
      <c r="D843" s="1">
        <v>126</v>
      </c>
      <c r="E843" s="1" t="s">
        <v>8</v>
      </c>
      <c r="F843" s="1" t="s">
        <v>8</v>
      </c>
      <c r="G843" s="1" t="s">
        <v>8</v>
      </c>
      <c r="H843" s="1">
        <v>95</v>
      </c>
      <c r="I843" s="1">
        <v>78</v>
      </c>
      <c r="J843" s="1" t="s">
        <v>8</v>
      </c>
    </row>
    <row r="844" spans="1:10">
      <c r="A844" s="35"/>
      <c r="B844" s="36"/>
      <c r="C844" s="1">
        <v>4</v>
      </c>
      <c r="D844" s="1">
        <v>155</v>
      </c>
      <c r="E844" s="1" t="s">
        <v>8</v>
      </c>
      <c r="F844" s="1" t="s">
        <v>8</v>
      </c>
      <c r="G844" s="1" t="s">
        <v>8</v>
      </c>
      <c r="H844" s="1">
        <v>135</v>
      </c>
      <c r="I844" s="1">
        <v>144</v>
      </c>
      <c r="J844" s="1" t="s">
        <v>8</v>
      </c>
    </row>
    <row r="845" spans="1:10">
      <c r="A845" s="35"/>
      <c r="B845" s="36"/>
      <c r="C845" s="1">
        <v>5</v>
      </c>
      <c r="D845" s="1">
        <v>121</v>
      </c>
      <c r="E845" s="1" t="s">
        <v>8</v>
      </c>
      <c r="F845" s="1" t="s">
        <v>8</v>
      </c>
      <c r="G845" s="1" t="s">
        <v>8</v>
      </c>
      <c r="H845" s="1">
        <v>98</v>
      </c>
      <c r="I845" s="1">
        <v>144</v>
      </c>
      <c r="J845" s="1" t="s">
        <v>8</v>
      </c>
    </row>
    <row r="846" spans="1:10">
      <c r="A846" s="35"/>
      <c r="B846" s="36"/>
      <c r="C846" s="7" t="s">
        <v>6</v>
      </c>
      <c r="D846" s="8">
        <f t="shared" ref="D846" si="251">IF(SUM(D841:D845)=0,"-",SUM(D841:D845))</f>
        <v>677</v>
      </c>
      <c r="E846" s="8" t="str">
        <f t="shared" ref="E846:J846" si="252">IF(SUM(E841:E845)=0,"-",SUM(E841:E845))</f>
        <v>-</v>
      </c>
      <c r="F846" s="8" t="str">
        <f t="shared" si="252"/>
        <v>-</v>
      </c>
      <c r="G846" s="8" t="str">
        <f t="shared" si="252"/>
        <v>-</v>
      </c>
      <c r="H846" s="8">
        <f t="shared" si="252"/>
        <v>523</v>
      </c>
      <c r="I846" s="8">
        <f t="shared" si="252"/>
        <v>575</v>
      </c>
      <c r="J846" s="8" t="str">
        <f t="shared" si="252"/>
        <v>-</v>
      </c>
    </row>
    <row r="847" spans="1:10">
      <c r="A847" s="35"/>
      <c r="B847" s="36"/>
      <c r="C847" s="9" t="s">
        <v>7</v>
      </c>
      <c r="D847" s="10">
        <f>IF(D846="-","-",D846/MAX($C841:$C845))</f>
        <v>135.4</v>
      </c>
      <c r="E847" s="10" t="str">
        <f>IF(E846="-","-",E846/MAX($C841:$C845))</f>
        <v>-</v>
      </c>
      <c r="F847" s="10" t="str">
        <f>IF(F846="-","-",F846/ (MAX($C841:$C845)-2))</f>
        <v>-</v>
      </c>
      <c r="G847" s="10" t="str">
        <f>IF(G846="-","-",G846/MAX($C841:$C845))</f>
        <v>-</v>
      </c>
      <c r="H847" s="10">
        <f>IF(H846="-","-",H846/MAX($C841:$C845))</f>
        <v>104.6</v>
      </c>
      <c r="I847" s="10">
        <f>IF(I846="-","-",I846/MAX($C841:$C845))</f>
        <v>115</v>
      </c>
      <c r="J847" s="10" t="str">
        <f>IF(J846="-","-",J846/MAX($C841:$C845))</f>
        <v>-</v>
      </c>
    </row>
    <row r="848" spans="1:10">
      <c r="A848" s="34" t="s">
        <v>113</v>
      </c>
      <c r="B848" s="36">
        <v>46108</v>
      </c>
      <c r="C848" s="1">
        <v>1</v>
      </c>
      <c r="D848" s="1">
        <v>131</v>
      </c>
      <c r="E848" s="1">
        <v>123</v>
      </c>
      <c r="F848" s="1" t="s">
        <v>8</v>
      </c>
      <c r="G848" s="1" t="s">
        <v>8</v>
      </c>
      <c r="H848" s="1">
        <v>124</v>
      </c>
      <c r="I848" s="1">
        <v>153</v>
      </c>
      <c r="J848" s="1" t="s">
        <v>8</v>
      </c>
    </row>
    <row r="849" spans="1:10">
      <c r="A849" s="35"/>
      <c r="B849" s="36"/>
      <c r="C849" s="1">
        <v>2</v>
      </c>
      <c r="D849" s="1">
        <v>136</v>
      </c>
      <c r="E849" s="1">
        <v>162</v>
      </c>
      <c r="F849" s="1" t="s">
        <v>8</v>
      </c>
      <c r="G849" s="1" t="s">
        <v>8</v>
      </c>
      <c r="H849" s="1">
        <v>163</v>
      </c>
      <c r="I849" s="1">
        <v>138</v>
      </c>
      <c r="J849" s="1" t="s">
        <v>8</v>
      </c>
    </row>
    <row r="850" spans="1:10">
      <c r="A850" s="35"/>
      <c r="B850" s="36"/>
      <c r="C850" s="1">
        <v>3</v>
      </c>
      <c r="D850" s="1">
        <v>127</v>
      </c>
      <c r="E850" s="1">
        <v>161</v>
      </c>
      <c r="F850" s="1" t="s">
        <v>8</v>
      </c>
      <c r="G850" s="1" t="s">
        <v>8</v>
      </c>
      <c r="H850" s="1">
        <v>117</v>
      </c>
      <c r="I850" s="1">
        <v>109</v>
      </c>
      <c r="J850" s="1" t="s">
        <v>8</v>
      </c>
    </row>
    <row r="851" spans="1:10">
      <c r="A851" s="35"/>
      <c r="B851" s="36"/>
      <c r="C851" s="1">
        <v>4</v>
      </c>
      <c r="D851" s="1">
        <v>122</v>
      </c>
      <c r="E851" s="1">
        <v>157</v>
      </c>
      <c r="F851" s="1" t="s">
        <v>8</v>
      </c>
      <c r="G851" s="1" t="s">
        <v>8</v>
      </c>
      <c r="H851" s="1">
        <v>135</v>
      </c>
      <c r="I851" s="1">
        <v>143</v>
      </c>
      <c r="J851" s="1" t="s">
        <v>8</v>
      </c>
    </row>
    <row r="852" spans="1:10">
      <c r="A852" s="35"/>
      <c r="B852" s="36"/>
      <c r="C852" s="1">
        <v>5</v>
      </c>
      <c r="D852" s="1">
        <v>136</v>
      </c>
      <c r="E852" s="1">
        <v>133</v>
      </c>
      <c r="F852" s="1" t="s">
        <v>8</v>
      </c>
      <c r="G852" s="1" t="s">
        <v>8</v>
      </c>
      <c r="H852" s="1">
        <v>113</v>
      </c>
      <c r="I852" s="1">
        <v>137</v>
      </c>
      <c r="J852" s="1" t="s">
        <v>8</v>
      </c>
    </row>
    <row r="853" spans="1:10">
      <c r="A853" s="35"/>
      <c r="B853" s="36"/>
      <c r="C853" s="7" t="s">
        <v>6</v>
      </c>
      <c r="D853" s="8">
        <f t="shared" ref="D853:J853" si="253">IF(SUM(D848:D852)=0,"-",SUM(D848:D852))</f>
        <v>652</v>
      </c>
      <c r="E853" s="8">
        <f t="shared" si="253"/>
        <v>736</v>
      </c>
      <c r="F853" s="8" t="str">
        <f t="shared" si="253"/>
        <v>-</v>
      </c>
      <c r="G853" s="8" t="str">
        <f t="shared" si="253"/>
        <v>-</v>
      </c>
      <c r="H853" s="8">
        <f t="shared" si="253"/>
        <v>652</v>
      </c>
      <c r="I853" s="8">
        <f t="shared" si="253"/>
        <v>680</v>
      </c>
      <c r="J853" s="8" t="str">
        <f t="shared" si="253"/>
        <v>-</v>
      </c>
    </row>
    <row r="854" spans="1:10">
      <c r="A854" s="35"/>
      <c r="B854" s="36"/>
      <c r="C854" s="9" t="s">
        <v>7</v>
      </c>
      <c r="D854" s="10">
        <f>IF(D853="-","-",D853/MAX($C848:$C852))</f>
        <v>130.4</v>
      </c>
      <c r="E854" s="10">
        <f>IF(E853="-","-",E853/MAX($C848:$C852))</f>
        <v>147.19999999999999</v>
      </c>
      <c r="F854" s="10" t="str">
        <f>IF(F853="-","-",F853/ (MAX($C848:$C852)-2))</f>
        <v>-</v>
      </c>
      <c r="G854" s="10" t="str">
        <f>IF(G853="-","-",G853/MAX($C848:$C852))</f>
        <v>-</v>
      </c>
      <c r="H854" s="10">
        <f>IF(H853="-","-",H853/MAX($C848:$C852))</f>
        <v>130.4</v>
      </c>
      <c r="I854" s="10">
        <f>IF(I853="-","-",I853/MAX($C848:$C852))</f>
        <v>136</v>
      </c>
      <c r="J854" s="10" t="str">
        <f>IF(J853="-","-",J853/MAX($C848:$C852))</f>
        <v>-</v>
      </c>
    </row>
    <row r="855" spans="1:10">
      <c r="A855" s="34" t="s">
        <v>114</v>
      </c>
      <c r="B855" s="36">
        <v>46118</v>
      </c>
      <c r="C855" s="1">
        <v>1</v>
      </c>
      <c r="D855" s="1">
        <v>96</v>
      </c>
      <c r="E855" s="1">
        <v>161</v>
      </c>
      <c r="F855" s="1" t="s">
        <v>8</v>
      </c>
      <c r="G855" s="1" t="s">
        <v>8</v>
      </c>
      <c r="H855" s="1">
        <v>125</v>
      </c>
      <c r="I855" s="1">
        <v>85</v>
      </c>
      <c r="J855" s="1" t="s">
        <v>8</v>
      </c>
    </row>
    <row r="856" spans="1:10">
      <c r="A856" s="35"/>
      <c r="B856" s="36"/>
      <c r="C856" s="1">
        <v>2</v>
      </c>
      <c r="D856" s="1">
        <v>114</v>
      </c>
      <c r="E856" s="1">
        <v>137</v>
      </c>
      <c r="F856" s="1" t="s">
        <v>8</v>
      </c>
      <c r="G856" s="1" t="s">
        <v>8</v>
      </c>
      <c r="H856" s="1">
        <v>93</v>
      </c>
      <c r="I856" s="1">
        <v>78</v>
      </c>
      <c r="J856" s="1" t="s">
        <v>8</v>
      </c>
    </row>
    <row r="857" spans="1:10">
      <c r="A857" s="35"/>
      <c r="B857" s="36"/>
      <c r="C857" s="1">
        <v>3</v>
      </c>
      <c r="D857" s="1">
        <v>119</v>
      </c>
      <c r="E857" s="1">
        <v>143</v>
      </c>
      <c r="F857" s="1" t="s">
        <v>8</v>
      </c>
      <c r="G857" s="1" t="s">
        <v>8</v>
      </c>
      <c r="H857" s="1">
        <v>86</v>
      </c>
      <c r="I857" s="1">
        <v>146</v>
      </c>
      <c r="J857" s="1" t="s">
        <v>8</v>
      </c>
    </row>
    <row r="858" spans="1:10">
      <c r="A858" s="35"/>
      <c r="B858" s="36"/>
      <c r="C858" s="1">
        <v>4</v>
      </c>
      <c r="D858" s="1">
        <v>130</v>
      </c>
      <c r="E858" s="1">
        <v>125</v>
      </c>
      <c r="F858" s="1" t="s">
        <v>8</v>
      </c>
      <c r="G858" s="1" t="s">
        <v>8</v>
      </c>
      <c r="H858" s="1">
        <v>98</v>
      </c>
      <c r="I858" s="1">
        <v>115</v>
      </c>
      <c r="J858" s="1" t="s">
        <v>8</v>
      </c>
    </row>
    <row r="859" spans="1:10">
      <c r="A859" s="35"/>
      <c r="B859" s="36"/>
      <c r="C859" s="1">
        <v>5</v>
      </c>
      <c r="D859" s="1">
        <v>128</v>
      </c>
      <c r="E859" s="1">
        <v>174</v>
      </c>
      <c r="F859" s="1" t="s">
        <v>8</v>
      </c>
      <c r="G859" s="1" t="s">
        <v>8</v>
      </c>
      <c r="H859" s="1">
        <v>142</v>
      </c>
      <c r="I859" s="1">
        <v>131</v>
      </c>
      <c r="J859" s="1" t="s">
        <v>8</v>
      </c>
    </row>
    <row r="860" spans="1:10">
      <c r="A860" s="35"/>
      <c r="B860" s="36"/>
      <c r="C860" s="7" t="s">
        <v>6</v>
      </c>
      <c r="D860" s="8">
        <f t="shared" ref="D860:J860" si="254">IF(SUM(D855:D859)=0,"-",SUM(D855:D859))</f>
        <v>587</v>
      </c>
      <c r="E860" s="8">
        <f t="shared" si="254"/>
        <v>740</v>
      </c>
      <c r="F860" s="8" t="str">
        <f t="shared" si="254"/>
        <v>-</v>
      </c>
      <c r="G860" s="8" t="str">
        <f t="shared" si="254"/>
        <v>-</v>
      </c>
      <c r="H860" s="8">
        <f t="shared" si="254"/>
        <v>544</v>
      </c>
      <c r="I860" s="8">
        <f t="shared" si="254"/>
        <v>555</v>
      </c>
      <c r="J860" s="8" t="str">
        <f t="shared" si="254"/>
        <v>-</v>
      </c>
    </row>
    <row r="861" spans="1:10">
      <c r="A861" s="35"/>
      <c r="B861" s="36"/>
      <c r="C861" s="9" t="s">
        <v>7</v>
      </c>
      <c r="D861" s="10">
        <f>IF(D860="-","-",D860/MAX($C855:$C859))</f>
        <v>117.4</v>
      </c>
      <c r="E861" s="10">
        <f>IF(E860="-","-",E860/MAX($C855:$C859))</f>
        <v>148</v>
      </c>
      <c r="F861" s="10" t="str">
        <f>IF(F860="-","-",F860/ (MAX($C855:$C859)-2))</f>
        <v>-</v>
      </c>
      <c r="G861" s="10" t="str">
        <f>IF(G860="-","-",G860/MAX($C855:$C859))</f>
        <v>-</v>
      </c>
      <c r="H861" s="10">
        <f>IF(H860="-","-",H860/MAX($C855:$C859))</f>
        <v>108.8</v>
      </c>
      <c r="I861" s="10">
        <f>IF(I860="-","-",I860/MAX($C855:$C859))</f>
        <v>111</v>
      </c>
      <c r="J861" s="10" t="str">
        <f>IF(J860="-","-",J860/MAX($C855:$C859))</f>
        <v>-</v>
      </c>
    </row>
    <row r="862" spans="1:10">
      <c r="A862" s="34" t="s">
        <v>115</v>
      </c>
      <c r="B862" s="36">
        <v>46137</v>
      </c>
      <c r="C862" s="1">
        <v>1</v>
      </c>
      <c r="D862" s="1">
        <v>133</v>
      </c>
      <c r="E862" s="1" t="s">
        <v>8</v>
      </c>
      <c r="F862" s="1" t="s">
        <v>8</v>
      </c>
      <c r="G862" s="1" t="s">
        <v>8</v>
      </c>
      <c r="H862" s="1">
        <v>88</v>
      </c>
      <c r="I862" s="1">
        <v>128</v>
      </c>
      <c r="J862" s="1" t="s">
        <v>8</v>
      </c>
    </row>
    <row r="863" spans="1:10">
      <c r="A863" s="35"/>
      <c r="B863" s="36"/>
      <c r="C863" s="1">
        <v>2</v>
      </c>
      <c r="D863" s="1">
        <v>140</v>
      </c>
      <c r="E863" s="1" t="s">
        <v>8</v>
      </c>
      <c r="F863" s="1" t="s">
        <v>8</v>
      </c>
      <c r="G863" s="1" t="s">
        <v>8</v>
      </c>
      <c r="H863" s="1">
        <v>112</v>
      </c>
      <c r="I863" s="1">
        <v>96</v>
      </c>
      <c r="J863" s="1" t="s">
        <v>8</v>
      </c>
    </row>
    <row r="864" spans="1:10">
      <c r="A864" s="35"/>
      <c r="B864" s="36"/>
      <c r="C864" s="1">
        <v>3</v>
      </c>
      <c r="D864" s="1">
        <v>159</v>
      </c>
      <c r="E864" s="1" t="s">
        <v>8</v>
      </c>
      <c r="F864" s="1" t="s">
        <v>8</v>
      </c>
      <c r="G864" s="1" t="s">
        <v>8</v>
      </c>
      <c r="H864" s="1">
        <v>97</v>
      </c>
      <c r="I864" s="1">
        <v>107</v>
      </c>
      <c r="J864" s="1" t="s">
        <v>8</v>
      </c>
    </row>
    <row r="865" spans="1:10">
      <c r="A865" s="35"/>
      <c r="B865" s="36"/>
      <c r="C865" s="1">
        <v>4</v>
      </c>
      <c r="D865" s="1">
        <v>122</v>
      </c>
      <c r="E865" s="1" t="s">
        <v>8</v>
      </c>
      <c r="F865" s="1" t="s">
        <v>8</v>
      </c>
      <c r="G865" s="1" t="s">
        <v>8</v>
      </c>
      <c r="H865" s="1">
        <v>115</v>
      </c>
      <c r="I865" s="1">
        <v>112</v>
      </c>
      <c r="J865" s="1" t="s">
        <v>8</v>
      </c>
    </row>
    <row r="866" spans="1:10">
      <c r="A866" s="35"/>
      <c r="B866" s="36"/>
      <c r="C866" s="1">
        <v>5</v>
      </c>
      <c r="D866" s="1">
        <v>160</v>
      </c>
      <c r="E866" s="1" t="s">
        <v>8</v>
      </c>
      <c r="F866" s="1" t="s">
        <v>8</v>
      </c>
      <c r="G866" s="1" t="s">
        <v>8</v>
      </c>
      <c r="H866" s="1">
        <v>114</v>
      </c>
      <c r="I866" s="1">
        <v>134</v>
      </c>
      <c r="J866" s="1" t="s">
        <v>8</v>
      </c>
    </row>
    <row r="867" spans="1:10">
      <c r="A867" s="35"/>
      <c r="B867" s="36"/>
      <c r="C867" s="7" t="s">
        <v>6</v>
      </c>
      <c r="D867" s="8">
        <f t="shared" ref="D867:J867" si="255">IF(SUM(D862:D866)=0,"-",SUM(D862:D866))</f>
        <v>714</v>
      </c>
      <c r="E867" s="8" t="str">
        <f t="shared" si="255"/>
        <v>-</v>
      </c>
      <c r="F867" s="8" t="str">
        <f t="shared" si="255"/>
        <v>-</v>
      </c>
      <c r="G867" s="8" t="str">
        <f t="shared" si="255"/>
        <v>-</v>
      </c>
      <c r="H867" s="8">
        <f t="shared" si="255"/>
        <v>526</v>
      </c>
      <c r="I867" s="8">
        <f t="shared" si="255"/>
        <v>577</v>
      </c>
      <c r="J867" s="8" t="str">
        <f t="shared" si="255"/>
        <v>-</v>
      </c>
    </row>
    <row r="868" spans="1:10">
      <c r="A868" s="35"/>
      <c r="B868" s="36"/>
      <c r="C868" s="9" t="s">
        <v>7</v>
      </c>
      <c r="D868" s="10">
        <f>IF(D867="-","-",D867/MAX($C862:$C866))</f>
        <v>142.80000000000001</v>
      </c>
      <c r="E868" s="10" t="str">
        <f>IF(E867="-","-",E867/MAX($C862:$C866))</f>
        <v>-</v>
      </c>
      <c r="F868" s="10" t="str">
        <f>IF(F867="-","-",F867/ (MAX($C862:$C866)-2))</f>
        <v>-</v>
      </c>
      <c r="G868" s="10" t="str">
        <f>IF(G867="-","-",G867/MAX($C862:$C866))</f>
        <v>-</v>
      </c>
      <c r="H868" s="10">
        <f>IF(H867="-","-",H867/MAX($C862:$C866))</f>
        <v>105.2</v>
      </c>
      <c r="I868" s="10">
        <f>IF(I867="-","-",I867/MAX($C862:$C866))</f>
        <v>115.4</v>
      </c>
      <c r="J868" s="10" t="str">
        <f>IF(J867="-","-",J867/MAX($C862:$C866))</f>
        <v>-</v>
      </c>
    </row>
    <row r="869" spans="1:10">
      <c r="A869" s="53" t="s">
        <v>116</v>
      </c>
      <c r="B869" s="36">
        <v>46145</v>
      </c>
      <c r="C869" s="1">
        <v>1</v>
      </c>
      <c r="D869" s="1">
        <v>114</v>
      </c>
      <c r="E869" s="1">
        <v>134</v>
      </c>
      <c r="F869" s="1" t="s">
        <v>8</v>
      </c>
      <c r="G869" s="1" t="s">
        <v>8</v>
      </c>
      <c r="H869" s="1">
        <v>118</v>
      </c>
      <c r="I869" s="1">
        <v>115</v>
      </c>
      <c r="J869" s="1" t="s">
        <v>8</v>
      </c>
    </row>
    <row r="870" spans="1:10">
      <c r="A870" s="54"/>
      <c r="B870" s="36"/>
      <c r="C870" s="1">
        <v>2</v>
      </c>
      <c r="D870" s="1">
        <v>115</v>
      </c>
      <c r="E870" s="1">
        <v>131</v>
      </c>
      <c r="F870" s="1" t="s">
        <v>8</v>
      </c>
      <c r="G870" s="1" t="s">
        <v>8</v>
      </c>
      <c r="H870" s="1">
        <v>115</v>
      </c>
      <c r="I870" s="1">
        <v>81</v>
      </c>
      <c r="J870" s="1" t="s">
        <v>8</v>
      </c>
    </row>
    <row r="871" spans="1:10">
      <c r="A871" s="54"/>
      <c r="B871" s="36"/>
      <c r="C871" s="1">
        <v>3</v>
      </c>
      <c r="D871" s="1">
        <v>137</v>
      </c>
      <c r="E871" s="1">
        <v>158</v>
      </c>
      <c r="F871" s="1" t="s">
        <v>8</v>
      </c>
      <c r="G871" s="1" t="s">
        <v>8</v>
      </c>
      <c r="H871" s="1">
        <v>97</v>
      </c>
      <c r="I871" s="1">
        <v>107</v>
      </c>
      <c r="J871" s="1" t="s">
        <v>8</v>
      </c>
    </row>
    <row r="872" spans="1:10">
      <c r="A872" s="54"/>
      <c r="B872" s="36"/>
      <c r="C872" s="1">
        <v>4</v>
      </c>
      <c r="D872" s="1">
        <v>101</v>
      </c>
      <c r="E872" s="1">
        <v>168</v>
      </c>
      <c r="F872" s="1" t="s">
        <v>8</v>
      </c>
      <c r="G872" s="1" t="s">
        <v>8</v>
      </c>
      <c r="H872" s="1">
        <v>121</v>
      </c>
      <c r="I872" s="1">
        <v>126</v>
      </c>
      <c r="J872" s="1" t="s">
        <v>8</v>
      </c>
    </row>
    <row r="873" spans="1:10">
      <c r="A873" s="54"/>
      <c r="B873" s="36"/>
      <c r="C873" s="1">
        <v>5</v>
      </c>
      <c r="D873" s="1">
        <v>131</v>
      </c>
      <c r="E873" s="1">
        <v>145</v>
      </c>
      <c r="F873" s="1" t="s">
        <v>8</v>
      </c>
      <c r="G873" s="1" t="s">
        <v>8</v>
      </c>
      <c r="H873" s="1">
        <v>160</v>
      </c>
      <c r="I873" s="1">
        <v>114</v>
      </c>
      <c r="J873" s="1" t="s">
        <v>8</v>
      </c>
    </row>
    <row r="874" spans="1:10">
      <c r="A874" s="54"/>
      <c r="B874" s="36"/>
      <c r="C874" s="7" t="s">
        <v>6</v>
      </c>
      <c r="D874" s="8">
        <f t="shared" ref="D874:J874" si="256">IF(SUM(D869:D873)=0,"-",SUM(D869:D873))</f>
        <v>598</v>
      </c>
      <c r="E874" s="8">
        <f t="shared" si="256"/>
        <v>736</v>
      </c>
      <c r="F874" s="8" t="str">
        <f t="shared" si="256"/>
        <v>-</v>
      </c>
      <c r="G874" s="8" t="str">
        <f t="shared" si="256"/>
        <v>-</v>
      </c>
      <c r="H874" s="8">
        <f t="shared" si="256"/>
        <v>611</v>
      </c>
      <c r="I874" s="8">
        <f t="shared" si="256"/>
        <v>543</v>
      </c>
      <c r="J874" s="8" t="str">
        <f t="shared" si="256"/>
        <v>-</v>
      </c>
    </row>
    <row r="875" spans="1:10">
      <c r="A875" s="54"/>
      <c r="B875" s="36"/>
      <c r="C875" s="9" t="s">
        <v>7</v>
      </c>
      <c r="D875" s="10">
        <f>IF(D874="-","-",D874/MAX($C869:$C873))</f>
        <v>119.6</v>
      </c>
      <c r="E875" s="10">
        <f>IF(E874="-","-",E874/MAX($C869:$C873))</f>
        <v>147.19999999999999</v>
      </c>
      <c r="F875" s="10" t="str">
        <f>IF(F874="-","-",F874/ (MAX($C869:$C873)-2))</f>
        <v>-</v>
      </c>
      <c r="G875" s="10" t="str">
        <f>IF(G874="-","-",G874/MAX($C869:$C873))</f>
        <v>-</v>
      </c>
      <c r="H875" s="10">
        <f>IF(H874="-","-",H874/MAX($C869:$C873))</f>
        <v>122.2</v>
      </c>
      <c r="I875" s="10">
        <f>IF(I874="-","-",I874/MAX($C869:$C873))</f>
        <v>108.6</v>
      </c>
      <c r="J875" s="10" t="str">
        <f>IF(J874="-","-",J874/MAX($C869:$C873))</f>
        <v>-</v>
      </c>
    </row>
    <row r="876" spans="1:10">
      <c r="A876" s="34" t="s">
        <v>117</v>
      </c>
      <c r="B876" s="36">
        <v>46152</v>
      </c>
      <c r="C876" s="1">
        <v>1</v>
      </c>
      <c r="D876" s="1">
        <v>133</v>
      </c>
      <c r="E876" s="1" t="s">
        <v>8</v>
      </c>
      <c r="F876" s="1" t="s">
        <v>8</v>
      </c>
      <c r="G876" s="1" t="s">
        <v>8</v>
      </c>
      <c r="H876" s="1">
        <v>100</v>
      </c>
      <c r="I876" s="1" t="s">
        <v>8</v>
      </c>
      <c r="J876" s="1" t="s">
        <v>8</v>
      </c>
    </row>
    <row r="877" spans="1:10">
      <c r="A877" s="35"/>
      <c r="B877" s="36"/>
      <c r="C877" s="1">
        <v>2</v>
      </c>
      <c r="D877" s="1">
        <v>134</v>
      </c>
      <c r="E877" s="1" t="s">
        <v>8</v>
      </c>
      <c r="F877" s="1" t="s">
        <v>8</v>
      </c>
      <c r="G877" s="1" t="s">
        <v>8</v>
      </c>
      <c r="H877" s="1">
        <v>123</v>
      </c>
      <c r="I877" s="1" t="s">
        <v>8</v>
      </c>
      <c r="J877" s="1" t="s">
        <v>8</v>
      </c>
    </row>
    <row r="878" spans="1:10">
      <c r="A878" s="35"/>
      <c r="B878" s="36"/>
      <c r="C878" s="1">
        <v>3</v>
      </c>
      <c r="D878" s="1">
        <v>122</v>
      </c>
      <c r="E878" s="1" t="s">
        <v>8</v>
      </c>
      <c r="F878" s="1" t="s">
        <v>8</v>
      </c>
      <c r="G878" s="1" t="s">
        <v>8</v>
      </c>
      <c r="H878" s="1">
        <v>109</v>
      </c>
      <c r="I878" s="1" t="s">
        <v>8</v>
      </c>
      <c r="J878" s="1" t="s">
        <v>8</v>
      </c>
    </row>
    <row r="879" spans="1:10">
      <c r="A879" s="35"/>
      <c r="B879" s="36"/>
      <c r="C879" s="1">
        <v>4</v>
      </c>
      <c r="D879" s="1">
        <v>174</v>
      </c>
      <c r="E879" s="1" t="s">
        <v>8</v>
      </c>
      <c r="F879" s="1" t="s">
        <v>8</v>
      </c>
      <c r="G879" s="1" t="s">
        <v>8</v>
      </c>
      <c r="H879" s="1">
        <v>110</v>
      </c>
      <c r="I879" s="1" t="s">
        <v>8</v>
      </c>
      <c r="J879" s="1" t="s">
        <v>8</v>
      </c>
    </row>
    <row r="880" spans="1:10">
      <c r="A880" s="35"/>
      <c r="B880" s="36"/>
      <c r="C880" s="1">
        <v>5</v>
      </c>
      <c r="D880" s="1">
        <v>159</v>
      </c>
      <c r="E880" s="1" t="s">
        <v>8</v>
      </c>
      <c r="F880" s="1" t="s">
        <v>8</v>
      </c>
      <c r="G880" s="1" t="s">
        <v>8</v>
      </c>
      <c r="H880" s="1">
        <v>131</v>
      </c>
      <c r="I880" s="1" t="s">
        <v>8</v>
      </c>
      <c r="J880" s="1" t="s">
        <v>8</v>
      </c>
    </row>
    <row r="881" spans="1:10">
      <c r="A881" s="35"/>
      <c r="B881" s="36"/>
      <c r="C881" s="7" t="s">
        <v>6</v>
      </c>
      <c r="D881" s="8">
        <f t="shared" ref="D881:J881" si="257">IF(SUM(D876:D880)=0,"-",SUM(D876:D880))</f>
        <v>722</v>
      </c>
      <c r="E881" s="8" t="str">
        <f t="shared" si="257"/>
        <v>-</v>
      </c>
      <c r="F881" s="8" t="str">
        <f t="shared" si="257"/>
        <v>-</v>
      </c>
      <c r="G881" s="8" t="str">
        <f t="shared" si="257"/>
        <v>-</v>
      </c>
      <c r="H881" s="8">
        <f t="shared" si="257"/>
        <v>573</v>
      </c>
      <c r="I881" s="8" t="str">
        <f t="shared" si="257"/>
        <v>-</v>
      </c>
      <c r="J881" s="8" t="str">
        <f t="shared" si="257"/>
        <v>-</v>
      </c>
    </row>
    <row r="882" spans="1:10">
      <c r="A882" s="35"/>
      <c r="B882" s="36"/>
      <c r="C882" s="9" t="s">
        <v>7</v>
      </c>
      <c r="D882" s="10">
        <f>IF(D881="-","-",D881/MAX($C876:$C880))</f>
        <v>144.4</v>
      </c>
      <c r="E882" s="10" t="str">
        <f>IF(E881="-","-",E881/MAX($C876:$C880))</f>
        <v>-</v>
      </c>
      <c r="F882" s="10" t="str">
        <f>IF(F881="-","-",F881/ (MAX($C876:$C880)-2))</f>
        <v>-</v>
      </c>
      <c r="G882" s="10" t="str">
        <f>IF(G881="-","-",G881/MAX($C876:$C880))</f>
        <v>-</v>
      </c>
      <c r="H882" s="10">
        <f>IF(H881="-","-",H881/MAX($C876:$C880))</f>
        <v>114.6</v>
      </c>
      <c r="I882" s="10" t="str">
        <f>IF(I881="-","-",I881/MAX($C876:$C880))</f>
        <v>-</v>
      </c>
      <c r="J882" s="10" t="str">
        <f>IF(J881="-","-",J881/MAX($C876:$C880))</f>
        <v>-</v>
      </c>
    </row>
    <row r="883" spans="1:10">
      <c r="A883" s="34" t="s">
        <v>118</v>
      </c>
      <c r="B883" s="36">
        <v>46166</v>
      </c>
      <c r="C883" s="1">
        <v>1</v>
      </c>
      <c r="D883" s="1">
        <v>115</v>
      </c>
      <c r="E883" s="1" t="s">
        <v>8</v>
      </c>
      <c r="F883" s="1" t="s">
        <v>8</v>
      </c>
      <c r="G883" s="1" t="s">
        <v>8</v>
      </c>
      <c r="H883" s="1">
        <v>87</v>
      </c>
      <c r="I883" s="1">
        <v>107</v>
      </c>
      <c r="J883" s="1" t="s">
        <v>8</v>
      </c>
    </row>
    <row r="884" spans="1:10">
      <c r="A884" s="35"/>
      <c r="B884" s="36"/>
      <c r="C884" s="1">
        <v>2</v>
      </c>
      <c r="D884" s="1">
        <v>148</v>
      </c>
      <c r="E884" s="1" t="s">
        <v>8</v>
      </c>
      <c r="F884" s="1" t="s">
        <v>8</v>
      </c>
      <c r="G884" s="1" t="s">
        <v>8</v>
      </c>
      <c r="H884" s="1">
        <v>76</v>
      </c>
      <c r="I884" s="1">
        <v>78</v>
      </c>
      <c r="J884" s="1" t="s">
        <v>8</v>
      </c>
    </row>
    <row r="885" spans="1:10">
      <c r="A885" s="35"/>
      <c r="B885" s="36"/>
      <c r="C885" s="1">
        <v>3</v>
      </c>
      <c r="D885" s="1">
        <v>118</v>
      </c>
      <c r="E885" s="1" t="s">
        <v>8</v>
      </c>
      <c r="F885" s="1" t="s">
        <v>8</v>
      </c>
      <c r="G885" s="1" t="s">
        <v>8</v>
      </c>
      <c r="H885" s="1">
        <v>107</v>
      </c>
      <c r="I885" s="1">
        <v>86</v>
      </c>
      <c r="J885" s="1" t="s">
        <v>8</v>
      </c>
    </row>
    <row r="886" spans="1:10">
      <c r="A886" s="35"/>
      <c r="B886" s="36"/>
      <c r="C886" s="1">
        <v>4</v>
      </c>
      <c r="D886" s="1">
        <v>139</v>
      </c>
      <c r="E886" s="1" t="s">
        <v>8</v>
      </c>
      <c r="F886" s="1" t="s">
        <v>8</v>
      </c>
      <c r="G886" s="1" t="s">
        <v>8</v>
      </c>
      <c r="H886" s="1">
        <v>90</v>
      </c>
      <c r="I886" s="1">
        <v>120</v>
      </c>
      <c r="J886" s="1" t="s">
        <v>8</v>
      </c>
    </row>
    <row r="887" spans="1:10">
      <c r="A887" s="35"/>
      <c r="B887" s="36"/>
      <c r="C887" s="1">
        <v>5</v>
      </c>
      <c r="D887" s="1">
        <v>143</v>
      </c>
      <c r="E887" s="1" t="s">
        <v>8</v>
      </c>
      <c r="F887" s="1" t="s">
        <v>8</v>
      </c>
      <c r="G887" s="1" t="s">
        <v>8</v>
      </c>
      <c r="H887" s="1">
        <v>149</v>
      </c>
      <c r="I887" s="1">
        <v>94</v>
      </c>
      <c r="J887" s="1" t="s">
        <v>8</v>
      </c>
    </row>
    <row r="888" spans="1:10">
      <c r="A888" s="35"/>
      <c r="B888" s="36"/>
      <c r="C888" s="7" t="s">
        <v>6</v>
      </c>
      <c r="D888" s="8">
        <f t="shared" ref="D888:J888" si="258">IF(SUM(D883:D887)=0,"-",SUM(D883:D887))</f>
        <v>663</v>
      </c>
      <c r="E888" s="8" t="str">
        <f t="shared" si="258"/>
        <v>-</v>
      </c>
      <c r="F888" s="8" t="str">
        <f t="shared" si="258"/>
        <v>-</v>
      </c>
      <c r="G888" s="8" t="str">
        <f t="shared" si="258"/>
        <v>-</v>
      </c>
      <c r="H888" s="8">
        <f t="shared" si="258"/>
        <v>509</v>
      </c>
      <c r="I888" s="8">
        <f t="shared" si="258"/>
        <v>485</v>
      </c>
      <c r="J888" s="8" t="str">
        <f t="shared" si="258"/>
        <v>-</v>
      </c>
    </row>
    <row r="889" spans="1:10">
      <c r="A889" s="35"/>
      <c r="B889" s="36"/>
      <c r="C889" s="9" t="s">
        <v>7</v>
      </c>
      <c r="D889" s="10">
        <f>IF(D888="-","-",D888/MAX($C883:$C887))</f>
        <v>132.6</v>
      </c>
      <c r="E889" s="10" t="str">
        <f>IF(E888="-","-",E888/MAX($C883:$C887))</f>
        <v>-</v>
      </c>
      <c r="F889" s="10" t="str">
        <f>IF(F888="-","-",F888/ (MAX($C883:$C887)-2))</f>
        <v>-</v>
      </c>
      <c r="G889" s="10" t="str">
        <f>IF(G888="-","-",G888/MAX($C883:$C887))</f>
        <v>-</v>
      </c>
      <c r="H889" s="10">
        <f>IF(H888="-","-",H888/MAX($C883:$C887))</f>
        <v>101.8</v>
      </c>
      <c r="I889" s="10">
        <f>IF(I888="-","-",I888/MAX($C883:$C887))</f>
        <v>97</v>
      </c>
      <c r="J889" s="10" t="str">
        <f>IF(J888="-","-",J888/MAX($C883:$C887))</f>
        <v>-</v>
      </c>
    </row>
    <row r="890" spans="1:10">
      <c r="A890" s="34" t="s">
        <v>119</v>
      </c>
      <c r="B890" s="36">
        <v>46171</v>
      </c>
      <c r="C890" s="1">
        <v>1</v>
      </c>
      <c r="D890" s="1" t="s">
        <v>8</v>
      </c>
      <c r="E890" s="1">
        <v>188</v>
      </c>
      <c r="F890" s="1" t="s">
        <v>8</v>
      </c>
      <c r="G890" s="1" t="s">
        <v>8</v>
      </c>
      <c r="H890" s="1">
        <v>99</v>
      </c>
      <c r="I890" s="1" t="s">
        <v>8</v>
      </c>
      <c r="J890" s="1" t="s">
        <v>8</v>
      </c>
    </row>
    <row r="891" spans="1:10">
      <c r="A891" s="35"/>
      <c r="B891" s="36"/>
      <c r="C891" s="1">
        <v>2</v>
      </c>
      <c r="D891" s="1" t="s">
        <v>8</v>
      </c>
      <c r="E891" s="1">
        <v>166</v>
      </c>
      <c r="F891" s="1" t="s">
        <v>8</v>
      </c>
      <c r="G891" s="1" t="s">
        <v>8</v>
      </c>
      <c r="H891" s="1">
        <v>129</v>
      </c>
      <c r="I891" s="1" t="s">
        <v>8</v>
      </c>
      <c r="J891" s="1" t="s">
        <v>8</v>
      </c>
    </row>
    <row r="892" spans="1:10">
      <c r="A892" s="35"/>
      <c r="B892" s="36"/>
      <c r="C892" s="1">
        <v>3</v>
      </c>
      <c r="D892" s="1" t="s">
        <v>8</v>
      </c>
      <c r="E892" s="1">
        <v>143</v>
      </c>
      <c r="F892" s="1" t="s">
        <v>8</v>
      </c>
      <c r="G892" s="1" t="s">
        <v>8</v>
      </c>
      <c r="H892" s="1">
        <v>80</v>
      </c>
      <c r="I892" s="1" t="s">
        <v>8</v>
      </c>
      <c r="J892" s="1" t="s">
        <v>8</v>
      </c>
    </row>
    <row r="893" spans="1:10">
      <c r="A893" s="35"/>
      <c r="B893" s="36"/>
      <c r="C893" s="1">
        <v>4</v>
      </c>
      <c r="D893" s="1" t="s">
        <v>8</v>
      </c>
      <c r="E893" s="1">
        <v>155</v>
      </c>
      <c r="F893" s="1" t="s">
        <v>8</v>
      </c>
      <c r="G893" s="1" t="s">
        <v>8</v>
      </c>
      <c r="H893" s="1">
        <v>152</v>
      </c>
      <c r="I893" s="1" t="s">
        <v>8</v>
      </c>
      <c r="J893" s="1" t="s">
        <v>8</v>
      </c>
    </row>
    <row r="894" spans="1:10">
      <c r="A894" s="35"/>
      <c r="B894" s="36"/>
      <c r="C894" s="1">
        <v>5</v>
      </c>
      <c r="D894" s="1" t="s">
        <v>8</v>
      </c>
      <c r="E894" s="1">
        <v>176</v>
      </c>
      <c r="F894" s="1" t="s">
        <v>8</v>
      </c>
      <c r="G894" s="1" t="s">
        <v>8</v>
      </c>
      <c r="H894" s="1">
        <v>114</v>
      </c>
      <c r="I894" s="1" t="s">
        <v>8</v>
      </c>
      <c r="J894" s="1" t="s">
        <v>8</v>
      </c>
    </row>
    <row r="895" spans="1:10">
      <c r="A895" s="35"/>
      <c r="B895" s="36"/>
      <c r="C895" s="7" t="s">
        <v>6</v>
      </c>
      <c r="D895" s="8" t="str">
        <f t="shared" ref="D895:J895" si="259">IF(SUM(D890:D894)=0,"-",SUM(D890:D894))</f>
        <v>-</v>
      </c>
      <c r="E895" s="8">
        <f t="shared" si="259"/>
        <v>828</v>
      </c>
      <c r="F895" s="8" t="str">
        <f t="shared" si="259"/>
        <v>-</v>
      </c>
      <c r="G895" s="8" t="str">
        <f t="shared" si="259"/>
        <v>-</v>
      </c>
      <c r="H895" s="8">
        <f t="shared" si="259"/>
        <v>574</v>
      </c>
      <c r="I895" s="8" t="str">
        <f t="shared" si="259"/>
        <v>-</v>
      </c>
      <c r="J895" s="8" t="str">
        <f t="shared" si="259"/>
        <v>-</v>
      </c>
    </row>
    <row r="896" spans="1:10">
      <c r="A896" s="35"/>
      <c r="B896" s="36"/>
      <c r="C896" s="9" t="s">
        <v>7</v>
      </c>
      <c r="D896" s="10" t="str">
        <f>IF(D895="-","-",D895/MAX($C890:$C894))</f>
        <v>-</v>
      </c>
      <c r="E896" s="10">
        <f>IF(E895="-","-",E895/MAX($C890:$C894))</f>
        <v>165.6</v>
      </c>
      <c r="F896" s="10" t="str">
        <f>IF(F895="-","-",F895/ (MAX($C890:$C894)-2))</f>
        <v>-</v>
      </c>
      <c r="G896" s="10" t="str">
        <f>IF(G895="-","-",G895/MAX($C890:$C894))</f>
        <v>-</v>
      </c>
      <c r="H896" s="10">
        <f>IF(H895="-","-",H895/MAX($C890:$C894))</f>
        <v>114.8</v>
      </c>
      <c r="I896" s="10" t="str">
        <f>IF(I895="-","-",I895/MAX($C890:$C894))</f>
        <v>-</v>
      </c>
      <c r="J896" s="10" t="str">
        <f>IF(J895="-","-",J895/MAX($C890:$C894))</f>
        <v>-</v>
      </c>
    </row>
    <row r="897" spans="1:10">
      <c r="A897" s="34" t="s">
        <v>120</v>
      </c>
      <c r="B897" s="36">
        <v>46178</v>
      </c>
      <c r="C897" s="1">
        <v>1</v>
      </c>
      <c r="D897" s="1" t="s">
        <v>8</v>
      </c>
      <c r="E897" s="1">
        <v>130</v>
      </c>
      <c r="F897" s="1" t="s">
        <v>8</v>
      </c>
      <c r="G897" s="1" t="s">
        <v>8</v>
      </c>
      <c r="H897" s="1">
        <v>112</v>
      </c>
      <c r="I897" s="1" t="s">
        <v>8</v>
      </c>
      <c r="J897" s="1" t="s">
        <v>8</v>
      </c>
    </row>
    <row r="898" spans="1:10">
      <c r="A898" s="35"/>
      <c r="B898" s="36"/>
      <c r="C898" s="1">
        <v>2</v>
      </c>
      <c r="D898" s="1" t="s">
        <v>8</v>
      </c>
      <c r="E898" s="1">
        <v>142</v>
      </c>
      <c r="F898" s="1" t="s">
        <v>8</v>
      </c>
      <c r="G898" s="1" t="s">
        <v>8</v>
      </c>
      <c r="H898" s="1">
        <v>119</v>
      </c>
      <c r="I898" s="1" t="s">
        <v>8</v>
      </c>
      <c r="J898" s="1" t="s">
        <v>8</v>
      </c>
    </row>
    <row r="899" spans="1:10">
      <c r="A899" s="35"/>
      <c r="B899" s="36"/>
      <c r="C899" s="1">
        <v>3</v>
      </c>
      <c r="D899" s="1" t="s">
        <v>8</v>
      </c>
      <c r="E899" s="1">
        <v>137</v>
      </c>
      <c r="F899" s="1" t="s">
        <v>8</v>
      </c>
      <c r="G899" s="1" t="s">
        <v>8</v>
      </c>
      <c r="H899" s="1">
        <v>114</v>
      </c>
      <c r="I899" s="1" t="s">
        <v>8</v>
      </c>
      <c r="J899" s="1" t="s">
        <v>8</v>
      </c>
    </row>
    <row r="900" spans="1:10">
      <c r="A900" s="35"/>
      <c r="B900" s="36"/>
      <c r="C900" s="1">
        <v>4</v>
      </c>
      <c r="D900" s="1" t="s">
        <v>8</v>
      </c>
      <c r="E900" s="1">
        <v>132</v>
      </c>
      <c r="F900" s="1" t="s">
        <v>8</v>
      </c>
      <c r="G900" s="1" t="s">
        <v>8</v>
      </c>
      <c r="H900" s="1">
        <v>103</v>
      </c>
      <c r="I900" s="1" t="s">
        <v>8</v>
      </c>
      <c r="J900" s="1" t="s">
        <v>8</v>
      </c>
    </row>
    <row r="901" spans="1:10">
      <c r="A901" s="35"/>
      <c r="B901" s="36"/>
      <c r="C901" s="1">
        <v>5</v>
      </c>
      <c r="D901" s="1" t="s">
        <v>8</v>
      </c>
      <c r="E901" s="1">
        <v>157</v>
      </c>
      <c r="F901" s="1" t="s">
        <v>8</v>
      </c>
      <c r="G901" s="1" t="s">
        <v>8</v>
      </c>
      <c r="H901" s="1">
        <v>106</v>
      </c>
      <c r="I901" s="1" t="s">
        <v>8</v>
      </c>
      <c r="J901" s="1" t="s">
        <v>8</v>
      </c>
    </row>
    <row r="902" spans="1:10">
      <c r="A902" s="35"/>
      <c r="B902" s="36"/>
      <c r="C902" s="7" t="s">
        <v>6</v>
      </c>
      <c r="D902" s="8" t="str">
        <f t="shared" ref="D902:J902" si="260">IF(SUM(D897:D901)=0,"-",SUM(D897:D901))</f>
        <v>-</v>
      </c>
      <c r="E902" s="8">
        <f t="shared" si="260"/>
        <v>698</v>
      </c>
      <c r="F902" s="8" t="str">
        <f t="shared" si="260"/>
        <v>-</v>
      </c>
      <c r="G902" s="8" t="str">
        <f t="shared" si="260"/>
        <v>-</v>
      </c>
      <c r="H902" s="8">
        <f t="shared" si="260"/>
        <v>554</v>
      </c>
      <c r="I902" s="8" t="str">
        <f t="shared" si="260"/>
        <v>-</v>
      </c>
      <c r="J902" s="8" t="str">
        <f t="shared" si="260"/>
        <v>-</v>
      </c>
    </row>
    <row r="903" spans="1:10">
      <c r="A903" s="35"/>
      <c r="B903" s="36"/>
      <c r="C903" s="9" t="s">
        <v>7</v>
      </c>
      <c r="D903" s="10" t="str">
        <f>IF(D902="-","-",D902/MAX($C897:$C901))</f>
        <v>-</v>
      </c>
      <c r="E903" s="10">
        <f>IF(E902="-","-",E902/MAX($C897:$C901))</f>
        <v>139.6</v>
      </c>
      <c r="F903" s="10" t="str">
        <f>IF(F902="-","-",F902/ (MAX($C897:$C901)-2))</f>
        <v>-</v>
      </c>
      <c r="G903" s="10" t="str">
        <f>IF(G902="-","-",G902/MAX($C897:$C901))</f>
        <v>-</v>
      </c>
      <c r="H903" s="10">
        <f>IF(H902="-","-",H902/MAX($C897:$C901))</f>
        <v>110.8</v>
      </c>
      <c r="I903" s="10" t="str">
        <f>IF(I902="-","-",I902/MAX($C897:$C901))</f>
        <v>-</v>
      </c>
      <c r="J903" s="10" t="str">
        <f>IF(J902="-","-",J902/MAX($C897:$C901))</f>
        <v>-</v>
      </c>
    </row>
    <row r="904" spans="1:10">
      <c r="A904" s="34" t="s">
        <v>121</v>
      </c>
      <c r="B904" s="36">
        <v>46192</v>
      </c>
      <c r="C904" s="1">
        <v>1</v>
      </c>
      <c r="D904" s="1">
        <v>135</v>
      </c>
      <c r="E904" s="1" t="s">
        <v>8</v>
      </c>
      <c r="F904" s="1" t="s">
        <v>8</v>
      </c>
      <c r="G904" s="1" t="s">
        <v>8</v>
      </c>
      <c r="H904" s="1">
        <v>130</v>
      </c>
      <c r="I904" s="1">
        <v>100</v>
      </c>
      <c r="J904" s="1" t="s">
        <v>8</v>
      </c>
    </row>
    <row r="905" spans="1:10">
      <c r="A905" s="35"/>
      <c r="B905" s="36"/>
      <c r="C905" s="1">
        <v>2</v>
      </c>
      <c r="D905" s="1">
        <v>136</v>
      </c>
      <c r="E905" s="1" t="s">
        <v>8</v>
      </c>
      <c r="F905" s="1" t="s">
        <v>8</v>
      </c>
      <c r="G905" s="1" t="s">
        <v>8</v>
      </c>
      <c r="H905" s="1">
        <v>128</v>
      </c>
      <c r="I905" s="1">
        <v>123</v>
      </c>
      <c r="J905" s="1" t="s">
        <v>8</v>
      </c>
    </row>
    <row r="906" spans="1:10">
      <c r="A906" s="35"/>
      <c r="B906" s="36"/>
      <c r="C906" s="1">
        <v>3</v>
      </c>
      <c r="D906" s="1">
        <v>137</v>
      </c>
      <c r="E906" s="1" t="s">
        <v>8</v>
      </c>
      <c r="F906" s="1" t="s">
        <v>8</v>
      </c>
      <c r="G906" s="1" t="s">
        <v>8</v>
      </c>
      <c r="H906" s="1">
        <v>135</v>
      </c>
      <c r="I906" s="1">
        <v>119</v>
      </c>
      <c r="J906" s="1" t="s">
        <v>8</v>
      </c>
    </row>
    <row r="907" spans="1:10">
      <c r="A907" s="35"/>
      <c r="B907" s="36"/>
      <c r="C907" s="1">
        <v>4</v>
      </c>
      <c r="D907" s="1">
        <v>166</v>
      </c>
      <c r="E907" s="1" t="s">
        <v>8</v>
      </c>
      <c r="F907" s="1" t="s">
        <v>8</v>
      </c>
      <c r="G907" s="1" t="s">
        <v>8</v>
      </c>
      <c r="H907" s="1">
        <v>90</v>
      </c>
      <c r="I907" s="1">
        <v>119</v>
      </c>
      <c r="J907" s="1" t="s">
        <v>8</v>
      </c>
    </row>
    <row r="908" spans="1:10">
      <c r="A908" s="35"/>
      <c r="B908" s="36"/>
      <c r="C908" s="1">
        <v>5</v>
      </c>
      <c r="D908" s="1">
        <v>139</v>
      </c>
      <c r="E908" s="1" t="s">
        <v>8</v>
      </c>
      <c r="F908" s="1" t="s">
        <v>8</v>
      </c>
      <c r="G908" s="1" t="s">
        <v>8</v>
      </c>
      <c r="H908" s="1">
        <v>96</v>
      </c>
      <c r="I908" s="1">
        <v>128</v>
      </c>
      <c r="J908" s="1" t="s">
        <v>8</v>
      </c>
    </row>
    <row r="909" spans="1:10">
      <c r="A909" s="35"/>
      <c r="B909" s="36"/>
      <c r="C909" s="7" t="s">
        <v>6</v>
      </c>
      <c r="D909" s="8">
        <f t="shared" ref="D909:J909" si="261">IF(SUM(D904:D908)=0,"-",SUM(D904:D908))</f>
        <v>713</v>
      </c>
      <c r="E909" s="8" t="str">
        <f t="shared" si="261"/>
        <v>-</v>
      </c>
      <c r="F909" s="8" t="str">
        <f t="shared" si="261"/>
        <v>-</v>
      </c>
      <c r="G909" s="8" t="str">
        <f t="shared" si="261"/>
        <v>-</v>
      </c>
      <c r="H909" s="8">
        <f t="shared" si="261"/>
        <v>579</v>
      </c>
      <c r="I909" s="8">
        <f t="shared" si="261"/>
        <v>589</v>
      </c>
      <c r="J909" s="8" t="str">
        <f t="shared" si="261"/>
        <v>-</v>
      </c>
    </row>
    <row r="910" spans="1:10">
      <c r="A910" s="35"/>
      <c r="B910" s="36"/>
      <c r="C910" s="9" t="s">
        <v>7</v>
      </c>
      <c r="D910" s="10">
        <f>IF(D909="-","-",D909/MAX($C904:$C908))</f>
        <v>142.6</v>
      </c>
      <c r="E910" s="10" t="str">
        <f>IF(E909="-","-",E909/MAX($C904:$C908))</f>
        <v>-</v>
      </c>
      <c r="F910" s="10" t="str">
        <f>IF(F909="-","-",F909/ (MAX($C904:$C908)-2))</f>
        <v>-</v>
      </c>
      <c r="G910" s="10" t="str">
        <f>IF(G909="-","-",G909/MAX($C904:$C908))</f>
        <v>-</v>
      </c>
      <c r="H910" s="10">
        <f>IF(H909="-","-",H909/MAX($C904:$C908))</f>
        <v>115.8</v>
      </c>
      <c r="I910" s="10">
        <f>IF(I909="-","-",I909/MAX($C904:$C908))</f>
        <v>117.8</v>
      </c>
      <c r="J910" s="10" t="str">
        <f>IF(J909="-","-",J909/MAX($C904:$C908))</f>
        <v>-</v>
      </c>
    </row>
    <row r="911" spans="1:10">
      <c r="A911" s="34" t="s">
        <v>124</v>
      </c>
      <c r="B911" s="36">
        <v>46213</v>
      </c>
      <c r="C911" s="1">
        <v>1</v>
      </c>
      <c r="D911" s="1">
        <v>100</v>
      </c>
      <c r="E911" s="1">
        <v>149</v>
      </c>
      <c r="F911" s="1" t="s">
        <v>8</v>
      </c>
      <c r="G911" s="1" t="s">
        <v>8</v>
      </c>
      <c r="H911" s="1">
        <v>160</v>
      </c>
      <c r="I911" s="1">
        <v>136</v>
      </c>
      <c r="J911" s="1" t="s">
        <v>8</v>
      </c>
    </row>
    <row r="912" spans="1:10">
      <c r="A912" s="35"/>
      <c r="B912" s="36"/>
      <c r="C912" s="1">
        <v>2</v>
      </c>
      <c r="D912" s="1">
        <v>171</v>
      </c>
      <c r="E912" s="1">
        <v>141</v>
      </c>
      <c r="F912" s="1" t="s">
        <v>8</v>
      </c>
      <c r="G912" s="1" t="s">
        <v>8</v>
      </c>
      <c r="H912" s="1">
        <v>110</v>
      </c>
      <c r="I912" s="1">
        <v>89</v>
      </c>
      <c r="J912" s="1" t="s">
        <v>8</v>
      </c>
    </row>
    <row r="913" spans="1:10">
      <c r="A913" s="35"/>
      <c r="B913" s="36"/>
      <c r="C913" s="1">
        <v>3</v>
      </c>
      <c r="D913" s="1">
        <v>140</v>
      </c>
      <c r="E913" s="1">
        <v>144</v>
      </c>
      <c r="F913" s="1" t="s">
        <v>8</v>
      </c>
      <c r="G913" s="1" t="s">
        <v>8</v>
      </c>
      <c r="H913" s="1">
        <v>137</v>
      </c>
      <c r="I913" s="1">
        <v>120</v>
      </c>
      <c r="J913" s="1" t="s">
        <v>8</v>
      </c>
    </row>
    <row r="914" spans="1:10">
      <c r="A914" s="35"/>
      <c r="B914" s="36"/>
      <c r="C914" s="1">
        <v>4</v>
      </c>
      <c r="D914" s="1">
        <v>100</v>
      </c>
      <c r="E914" s="1">
        <v>191</v>
      </c>
      <c r="F914" s="1" t="s">
        <v>8</v>
      </c>
      <c r="G914" s="1" t="s">
        <v>8</v>
      </c>
      <c r="H914" s="1">
        <v>101</v>
      </c>
      <c r="I914" s="1">
        <v>173</v>
      </c>
      <c r="J914" s="1" t="s">
        <v>8</v>
      </c>
    </row>
    <row r="915" spans="1:10">
      <c r="A915" s="35"/>
      <c r="B915" s="36"/>
      <c r="C915" s="1">
        <v>5</v>
      </c>
      <c r="D915" s="1">
        <v>142</v>
      </c>
      <c r="E915" s="1">
        <v>145</v>
      </c>
      <c r="F915" s="1" t="s">
        <v>8</v>
      </c>
      <c r="G915" s="1" t="s">
        <v>8</v>
      </c>
      <c r="H915" s="1">
        <v>98</v>
      </c>
      <c r="I915" s="1">
        <v>154</v>
      </c>
      <c r="J915" s="1" t="s">
        <v>8</v>
      </c>
    </row>
    <row r="916" spans="1:10">
      <c r="A916" s="35"/>
      <c r="B916" s="36"/>
      <c r="C916" s="7" t="s">
        <v>6</v>
      </c>
      <c r="D916" s="8">
        <f t="shared" ref="D916:J916" si="262">IF(SUM(D911:D915)=0,"-",SUM(D911:D915))</f>
        <v>653</v>
      </c>
      <c r="E916" s="8">
        <f t="shared" si="262"/>
        <v>770</v>
      </c>
      <c r="F916" s="8" t="str">
        <f t="shared" si="262"/>
        <v>-</v>
      </c>
      <c r="G916" s="8" t="str">
        <f t="shared" si="262"/>
        <v>-</v>
      </c>
      <c r="H916" s="8">
        <f t="shared" si="262"/>
        <v>606</v>
      </c>
      <c r="I916" s="8">
        <f t="shared" si="262"/>
        <v>672</v>
      </c>
      <c r="J916" s="8" t="str">
        <f t="shared" si="262"/>
        <v>-</v>
      </c>
    </row>
    <row r="917" spans="1:10">
      <c r="A917" s="35"/>
      <c r="B917" s="36"/>
      <c r="C917" s="9" t="s">
        <v>7</v>
      </c>
      <c r="D917" s="10">
        <f>IF(D916="-","-",D916/MAX($C911:$C915))</f>
        <v>130.6</v>
      </c>
      <c r="E917" s="10">
        <f>IF(E916="-","-",E916/MAX($C911:$C915))</f>
        <v>154</v>
      </c>
      <c r="F917" s="10" t="str">
        <f>IF(F916="-","-",F916/ (MAX($C911:$C915)-2))</f>
        <v>-</v>
      </c>
      <c r="G917" s="10" t="str">
        <f>IF(G916="-","-",G916/MAX($C911:$C915))</f>
        <v>-</v>
      </c>
      <c r="H917" s="10">
        <f>IF(H916="-","-",H916/MAX($C911:$C915))</f>
        <v>121.2</v>
      </c>
      <c r="I917" s="10">
        <f>IF(I916="-","-",I916/MAX($C911:$C915))</f>
        <v>134.4</v>
      </c>
      <c r="J917" s="10" t="str">
        <f>IF(J916="-","-",J916/MAX($C911:$C915))</f>
        <v>-</v>
      </c>
    </row>
    <row r="918" spans="1:10">
      <c r="A918" s="34" t="s">
        <v>125</v>
      </c>
      <c r="B918" s="36">
        <v>46222</v>
      </c>
      <c r="C918" s="1">
        <v>1</v>
      </c>
      <c r="D918" s="1">
        <v>135</v>
      </c>
      <c r="E918" s="1">
        <v>124</v>
      </c>
      <c r="F918" s="1" t="s">
        <v>8</v>
      </c>
      <c r="G918" s="1" t="s">
        <v>8</v>
      </c>
      <c r="H918" s="1">
        <v>112</v>
      </c>
      <c r="I918" s="1">
        <v>96</v>
      </c>
      <c r="J918" s="1" t="s">
        <v>8</v>
      </c>
    </row>
    <row r="919" spans="1:10">
      <c r="A919" s="35"/>
      <c r="B919" s="36"/>
      <c r="C919" s="1">
        <v>2</v>
      </c>
      <c r="D919" s="1">
        <v>130</v>
      </c>
      <c r="E919" s="1">
        <v>154</v>
      </c>
      <c r="F919" s="1" t="s">
        <v>8</v>
      </c>
      <c r="G919" s="1" t="s">
        <v>8</v>
      </c>
      <c r="H919" s="1">
        <v>156</v>
      </c>
      <c r="I919" s="1">
        <v>143</v>
      </c>
      <c r="J919" s="1" t="s">
        <v>8</v>
      </c>
    </row>
    <row r="920" spans="1:10">
      <c r="A920" s="35"/>
      <c r="B920" s="36"/>
      <c r="C920" s="1">
        <v>3</v>
      </c>
      <c r="D920" s="1">
        <v>144</v>
      </c>
      <c r="E920" s="1">
        <v>146</v>
      </c>
      <c r="F920" s="1" t="s">
        <v>8</v>
      </c>
      <c r="G920" s="1" t="s">
        <v>8</v>
      </c>
      <c r="H920" s="1">
        <v>125</v>
      </c>
      <c r="I920" s="1">
        <v>79</v>
      </c>
      <c r="J920" s="1" t="s">
        <v>8</v>
      </c>
    </row>
    <row r="921" spans="1:10">
      <c r="A921" s="35"/>
      <c r="B921" s="36"/>
      <c r="C921" s="1">
        <v>4</v>
      </c>
      <c r="D921" s="1">
        <v>130</v>
      </c>
      <c r="E921" s="1">
        <v>134</v>
      </c>
      <c r="F921" s="1" t="s">
        <v>8</v>
      </c>
      <c r="G921" s="1" t="s">
        <v>8</v>
      </c>
      <c r="H921" s="1">
        <v>118</v>
      </c>
      <c r="I921" s="1">
        <v>119</v>
      </c>
      <c r="J921" s="1" t="s">
        <v>8</v>
      </c>
    </row>
    <row r="922" spans="1:10">
      <c r="A922" s="35"/>
      <c r="B922" s="36"/>
      <c r="C922" s="1">
        <v>5</v>
      </c>
      <c r="D922" s="1">
        <v>104</v>
      </c>
      <c r="E922" s="1">
        <v>126</v>
      </c>
      <c r="F922" s="1" t="s">
        <v>8</v>
      </c>
      <c r="G922" s="1" t="s">
        <v>8</v>
      </c>
      <c r="H922" s="1">
        <v>164</v>
      </c>
      <c r="I922" s="1">
        <v>135</v>
      </c>
      <c r="J922" s="1" t="s">
        <v>8</v>
      </c>
    </row>
    <row r="923" spans="1:10">
      <c r="A923" s="35"/>
      <c r="B923" s="36"/>
      <c r="C923" s="7" t="s">
        <v>6</v>
      </c>
      <c r="D923" s="8">
        <f t="shared" ref="D923:J923" si="263">IF(SUM(D918:D922)=0,"-",SUM(D918:D922))</f>
        <v>643</v>
      </c>
      <c r="E923" s="8">
        <f t="shared" si="263"/>
        <v>684</v>
      </c>
      <c r="F923" s="8" t="str">
        <f t="shared" si="263"/>
        <v>-</v>
      </c>
      <c r="G923" s="8" t="str">
        <f t="shared" si="263"/>
        <v>-</v>
      </c>
      <c r="H923" s="8">
        <f t="shared" si="263"/>
        <v>675</v>
      </c>
      <c r="I923" s="8">
        <f t="shared" si="263"/>
        <v>572</v>
      </c>
      <c r="J923" s="8" t="str">
        <f t="shared" si="263"/>
        <v>-</v>
      </c>
    </row>
    <row r="924" spans="1:10">
      <c r="A924" s="35"/>
      <c r="B924" s="36"/>
      <c r="C924" s="9" t="s">
        <v>7</v>
      </c>
      <c r="D924" s="10">
        <f>IF(D923="-","-",D923/MAX($C918:$C922))</f>
        <v>128.6</v>
      </c>
      <c r="E924" s="10">
        <f>IF(E923="-","-",E923/MAX($C918:$C922))</f>
        <v>136.80000000000001</v>
      </c>
      <c r="F924" s="10" t="str">
        <f>IF(F923="-","-",F923/ (MAX($C918:$C922)-2))</f>
        <v>-</v>
      </c>
      <c r="G924" s="10" t="str">
        <f>IF(G923="-","-",G923/MAX($C918:$C922))</f>
        <v>-</v>
      </c>
      <c r="H924" s="10">
        <f>IF(H923="-","-",H923/MAX($C918:$C922))</f>
        <v>135</v>
      </c>
      <c r="I924" s="10">
        <f>IF(I923="-","-",I923/MAX($C918:$C922))</f>
        <v>114.4</v>
      </c>
      <c r="J924" s="10" t="str">
        <f>IF(J923="-","-",J923/MAX($C918:$C922))</f>
        <v>-</v>
      </c>
    </row>
    <row r="925" spans="1:10">
      <c r="A925" s="34" t="s">
        <v>126</v>
      </c>
      <c r="B925" s="36">
        <v>46241</v>
      </c>
      <c r="C925" s="1">
        <v>1</v>
      </c>
      <c r="D925" s="1">
        <v>194</v>
      </c>
      <c r="E925" s="1">
        <v>149</v>
      </c>
      <c r="F925" s="1" t="s">
        <v>8</v>
      </c>
      <c r="G925" s="1" t="s">
        <v>8</v>
      </c>
      <c r="H925" s="1">
        <v>109</v>
      </c>
      <c r="I925" s="1" t="s">
        <v>8</v>
      </c>
      <c r="J925" s="1" t="s">
        <v>8</v>
      </c>
    </row>
    <row r="926" spans="1:10">
      <c r="A926" s="35"/>
      <c r="B926" s="36"/>
      <c r="C926" s="1">
        <v>2</v>
      </c>
      <c r="D926" s="1">
        <v>115</v>
      </c>
      <c r="E926" s="1">
        <v>144</v>
      </c>
      <c r="F926" s="1" t="s">
        <v>8</v>
      </c>
      <c r="G926" s="1" t="s">
        <v>8</v>
      </c>
      <c r="H926" s="1">
        <v>137</v>
      </c>
      <c r="I926" s="1" t="s">
        <v>8</v>
      </c>
      <c r="J926" s="1" t="s">
        <v>8</v>
      </c>
    </row>
    <row r="927" spans="1:10">
      <c r="A927" s="35"/>
      <c r="B927" s="36"/>
      <c r="C927" s="1">
        <v>3</v>
      </c>
      <c r="D927" s="1">
        <v>114</v>
      </c>
      <c r="E927" s="1">
        <v>169</v>
      </c>
      <c r="F927" s="1" t="s">
        <v>8</v>
      </c>
      <c r="G927" s="1" t="s">
        <v>8</v>
      </c>
      <c r="H927" s="1">
        <v>134</v>
      </c>
      <c r="I927" s="1" t="s">
        <v>8</v>
      </c>
      <c r="J927" s="1" t="s">
        <v>8</v>
      </c>
    </row>
    <row r="928" spans="1:10">
      <c r="A928" s="35"/>
      <c r="B928" s="36"/>
      <c r="C928" s="1">
        <v>4</v>
      </c>
      <c r="D928" s="1">
        <v>138</v>
      </c>
      <c r="E928" s="1">
        <v>125</v>
      </c>
      <c r="F928" s="1" t="s">
        <v>8</v>
      </c>
      <c r="G928" s="1" t="s">
        <v>8</v>
      </c>
      <c r="H928" s="1">
        <v>126</v>
      </c>
      <c r="I928" s="1" t="s">
        <v>8</v>
      </c>
      <c r="J928" s="1" t="s">
        <v>8</v>
      </c>
    </row>
    <row r="929" spans="1:10">
      <c r="A929" s="35"/>
      <c r="B929" s="36"/>
      <c r="C929" s="1">
        <v>5</v>
      </c>
      <c r="D929" s="1">
        <v>105</v>
      </c>
      <c r="E929" s="1">
        <v>139</v>
      </c>
      <c r="F929" s="1" t="s">
        <v>8</v>
      </c>
      <c r="G929" s="1" t="s">
        <v>8</v>
      </c>
      <c r="H929" s="1">
        <v>115</v>
      </c>
      <c r="I929" s="1" t="s">
        <v>8</v>
      </c>
      <c r="J929" s="1" t="s">
        <v>8</v>
      </c>
    </row>
    <row r="930" spans="1:10">
      <c r="A930" s="35"/>
      <c r="B930" s="36"/>
      <c r="C930" s="7" t="s">
        <v>6</v>
      </c>
      <c r="D930" s="8">
        <f t="shared" ref="D930:J930" si="264">IF(SUM(D925:D929)=0,"-",SUM(D925:D929))</f>
        <v>666</v>
      </c>
      <c r="E930" s="8">
        <f t="shared" si="264"/>
        <v>726</v>
      </c>
      <c r="F930" s="8" t="str">
        <f t="shared" si="264"/>
        <v>-</v>
      </c>
      <c r="G930" s="8" t="str">
        <f t="shared" si="264"/>
        <v>-</v>
      </c>
      <c r="H930" s="8">
        <f t="shared" si="264"/>
        <v>621</v>
      </c>
      <c r="I930" s="8" t="str">
        <f t="shared" si="264"/>
        <v>-</v>
      </c>
      <c r="J930" s="8" t="str">
        <f t="shared" si="264"/>
        <v>-</v>
      </c>
    </row>
    <row r="931" spans="1:10">
      <c r="A931" s="35"/>
      <c r="B931" s="36"/>
      <c r="C931" s="9" t="s">
        <v>7</v>
      </c>
      <c r="D931" s="10">
        <f>IF(D930="-","-",D930/MAX($C925:$C929))</f>
        <v>133.19999999999999</v>
      </c>
      <c r="E931" s="10">
        <f>IF(E930="-","-",E930/MAX($C925:$C929))</f>
        <v>145.19999999999999</v>
      </c>
      <c r="F931" s="10" t="str">
        <f>IF(F930="-","-",F930/ (MAX($C925:$C929)-2))</f>
        <v>-</v>
      </c>
      <c r="G931" s="10" t="str">
        <f>IF(G930="-","-",G930/MAX($C925:$C929))</f>
        <v>-</v>
      </c>
      <c r="H931" s="10">
        <f>IF(H930="-","-",H930/MAX($C925:$C929))</f>
        <v>124.2</v>
      </c>
      <c r="I931" s="10" t="str">
        <f>IF(I930="-","-",I930/MAX($C925:$C929))</f>
        <v>-</v>
      </c>
      <c r="J931" s="10" t="str">
        <f>IF(J930="-","-",J930/MAX($C925:$C929))</f>
        <v>-</v>
      </c>
    </row>
    <row r="932" spans="1:10">
      <c r="A932" s="34" t="s">
        <v>127</v>
      </c>
      <c r="B932" s="36">
        <v>46255</v>
      </c>
      <c r="C932" s="1">
        <v>1</v>
      </c>
      <c r="D932" s="1">
        <v>107</v>
      </c>
      <c r="E932" s="1" t="s">
        <v>8</v>
      </c>
      <c r="F932" s="1" t="s">
        <v>8</v>
      </c>
      <c r="G932" s="1" t="s">
        <v>8</v>
      </c>
      <c r="H932" s="1">
        <v>124</v>
      </c>
      <c r="I932" s="1">
        <v>105</v>
      </c>
      <c r="J932" s="1" t="s">
        <v>8</v>
      </c>
    </row>
    <row r="933" spans="1:10">
      <c r="A933" s="35"/>
      <c r="B933" s="36"/>
      <c r="C933" s="1">
        <v>2</v>
      </c>
      <c r="D933" s="1">
        <v>134</v>
      </c>
      <c r="E933" s="1" t="s">
        <v>8</v>
      </c>
      <c r="F933" s="1" t="s">
        <v>8</v>
      </c>
      <c r="G933" s="1" t="s">
        <v>8</v>
      </c>
      <c r="H933" s="1">
        <v>126</v>
      </c>
      <c r="I933" s="1">
        <v>142</v>
      </c>
      <c r="J933" s="1" t="s">
        <v>8</v>
      </c>
    </row>
    <row r="934" spans="1:10">
      <c r="A934" s="35"/>
      <c r="B934" s="36"/>
      <c r="C934" s="1">
        <v>3</v>
      </c>
      <c r="D934" s="1">
        <v>128</v>
      </c>
      <c r="E934" s="1" t="s">
        <v>8</v>
      </c>
      <c r="F934" s="1" t="s">
        <v>8</v>
      </c>
      <c r="G934" s="1" t="s">
        <v>8</v>
      </c>
      <c r="H934" s="1">
        <v>112</v>
      </c>
      <c r="I934" s="1">
        <v>114</v>
      </c>
      <c r="J934" s="1" t="s">
        <v>8</v>
      </c>
    </row>
    <row r="935" spans="1:10">
      <c r="A935" s="35"/>
      <c r="B935" s="36"/>
      <c r="C935" s="1">
        <v>4</v>
      </c>
      <c r="D935" s="1">
        <v>153</v>
      </c>
      <c r="E935" s="1" t="s">
        <v>8</v>
      </c>
      <c r="F935" s="1" t="s">
        <v>8</v>
      </c>
      <c r="G935" s="1" t="s">
        <v>8</v>
      </c>
      <c r="H935" s="1">
        <v>152</v>
      </c>
      <c r="I935" s="1">
        <v>143</v>
      </c>
      <c r="J935" s="1" t="s">
        <v>8</v>
      </c>
    </row>
    <row r="936" spans="1:10">
      <c r="A936" s="35"/>
      <c r="B936" s="36"/>
      <c r="C936" s="1">
        <v>5</v>
      </c>
      <c r="D936" s="1">
        <v>161</v>
      </c>
      <c r="E936" s="1" t="s">
        <v>8</v>
      </c>
      <c r="F936" s="1" t="s">
        <v>8</v>
      </c>
      <c r="G936" s="1" t="s">
        <v>8</v>
      </c>
      <c r="H936" s="1">
        <v>126</v>
      </c>
      <c r="I936" s="1">
        <v>86</v>
      </c>
      <c r="J936" s="1" t="s">
        <v>8</v>
      </c>
    </row>
    <row r="937" spans="1:10">
      <c r="A937" s="35"/>
      <c r="B937" s="36"/>
      <c r="C937" s="7" t="s">
        <v>6</v>
      </c>
      <c r="D937" s="8">
        <f t="shared" ref="D937:J937" si="265">IF(SUM(D932:D936)=0,"-",SUM(D932:D936))</f>
        <v>683</v>
      </c>
      <c r="E937" s="8" t="str">
        <f t="shared" si="265"/>
        <v>-</v>
      </c>
      <c r="F937" s="8" t="str">
        <f t="shared" si="265"/>
        <v>-</v>
      </c>
      <c r="G937" s="8" t="str">
        <f t="shared" si="265"/>
        <v>-</v>
      </c>
      <c r="H937" s="8">
        <f t="shared" si="265"/>
        <v>640</v>
      </c>
      <c r="I937" s="8">
        <f t="shared" si="265"/>
        <v>590</v>
      </c>
      <c r="J937" s="8" t="str">
        <f t="shared" si="265"/>
        <v>-</v>
      </c>
    </row>
    <row r="938" spans="1:10">
      <c r="A938" s="35"/>
      <c r="B938" s="36"/>
      <c r="C938" s="9" t="s">
        <v>7</v>
      </c>
      <c r="D938" s="10">
        <f>IF(D937="-","-",D937/MAX($C932:$C936))</f>
        <v>136.6</v>
      </c>
      <c r="E938" s="10" t="str">
        <f>IF(E937="-","-",E937/MAX($C932:$C936))</f>
        <v>-</v>
      </c>
      <c r="F938" s="10" t="str">
        <f>IF(F937="-","-",F937/ (MAX($C932:$C936)-2))</f>
        <v>-</v>
      </c>
      <c r="G938" s="10" t="str">
        <f>IF(G937="-","-",G937/MAX($C932:$C936))</f>
        <v>-</v>
      </c>
      <c r="H938" s="10">
        <f>IF(H937="-","-",H937/MAX($C932:$C936))</f>
        <v>128</v>
      </c>
      <c r="I938" s="10">
        <f>IF(I937="-","-",I937/MAX($C932:$C936))</f>
        <v>118</v>
      </c>
      <c r="J938" s="10" t="str">
        <f>IF(J937="-","-",J937/MAX($C932:$C936))</f>
        <v>-</v>
      </c>
    </row>
    <row r="939" spans="1:10">
      <c r="A939" s="34" t="s">
        <v>129</v>
      </c>
      <c r="B939" s="36">
        <v>46285</v>
      </c>
      <c r="C939" s="1">
        <v>1</v>
      </c>
      <c r="D939" s="1">
        <v>116</v>
      </c>
      <c r="E939" s="1">
        <v>143</v>
      </c>
      <c r="F939" s="1" t="s">
        <v>8</v>
      </c>
      <c r="G939" s="1" t="s">
        <v>8</v>
      </c>
      <c r="H939" s="1">
        <v>142</v>
      </c>
      <c r="I939" s="1" t="s">
        <v>8</v>
      </c>
      <c r="J939" s="1" t="s">
        <v>8</v>
      </c>
    </row>
    <row r="940" spans="1:10">
      <c r="A940" s="35"/>
      <c r="B940" s="36"/>
      <c r="C940" s="1">
        <v>2</v>
      </c>
      <c r="D940" s="1">
        <v>139</v>
      </c>
      <c r="E940" s="1">
        <v>148</v>
      </c>
      <c r="F940" s="1" t="s">
        <v>8</v>
      </c>
      <c r="G940" s="1" t="s">
        <v>8</v>
      </c>
      <c r="H940" s="1">
        <v>152</v>
      </c>
      <c r="I940" s="1" t="s">
        <v>8</v>
      </c>
      <c r="J940" s="1" t="s">
        <v>8</v>
      </c>
    </row>
    <row r="941" spans="1:10">
      <c r="A941" s="35"/>
      <c r="B941" s="36"/>
      <c r="C941" s="1">
        <v>3</v>
      </c>
      <c r="D941" s="1">
        <v>141</v>
      </c>
      <c r="E941" s="1">
        <v>144</v>
      </c>
      <c r="F941" s="1" t="s">
        <v>8</v>
      </c>
      <c r="G941" s="1" t="s">
        <v>8</v>
      </c>
      <c r="H941" s="1">
        <v>161</v>
      </c>
      <c r="I941" s="1" t="s">
        <v>8</v>
      </c>
      <c r="J941" s="1" t="s">
        <v>8</v>
      </c>
    </row>
    <row r="942" spans="1:10">
      <c r="A942" s="35"/>
      <c r="B942" s="36"/>
      <c r="C942" s="1">
        <v>4</v>
      </c>
      <c r="D942" s="1">
        <v>167</v>
      </c>
      <c r="E942" s="1">
        <v>136</v>
      </c>
      <c r="F942" s="1" t="s">
        <v>8</v>
      </c>
      <c r="G942" s="1" t="s">
        <v>8</v>
      </c>
      <c r="H942" s="1">
        <v>118</v>
      </c>
      <c r="I942" s="1" t="s">
        <v>8</v>
      </c>
      <c r="J942" s="1" t="s">
        <v>8</v>
      </c>
    </row>
    <row r="943" spans="1:10">
      <c r="A943" s="35"/>
      <c r="B943" s="36"/>
      <c r="C943" s="1">
        <v>5</v>
      </c>
      <c r="D943" s="1">
        <v>90</v>
      </c>
      <c r="E943" s="1">
        <v>121</v>
      </c>
      <c r="F943" s="1" t="s">
        <v>8</v>
      </c>
      <c r="G943" s="1" t="s">
        <v>8</v>
      </c>
      <c r="H943" s="1">
        <v>174</v>
      </c>
      <c r="I943" s="1" t="s">
        <v>8</v>
      </c>
      <c r="J943" s="1" t="s">
        <v>8</v>
      </c>
    </row>
    <row r="944" spans="1:10">
      <c r="A944" s="35"/>
      <c r="B944" s="36"/>
      <c r="C944" s="7" t="s">
        <v>6</v>
      </c>
      <c r="D944" s="8">
        <f t="shared" ref="D944:J944" si="266">IF(SUM(D939:D943)=0,"-",SUM(D939:D943))</f>
        <v>653</v>
      </c>
      <c r="E944" s="8">
        <f t="shared" si="266"/>
        <v>692</v>
      </c>
      <c r="F944" s="8" t="str">
        <f t="shared" si="266"/>
        <v>-</v>
      </c>
      <c r="G944" s="8" t="str">
        <f t="shared" si="266"/>
        <v>-</v>
      </c>
      <c r="H944" s="8">
        <f t="shared" si="266"/>
        <v>747</v>
      </c>
      <c r="I944" s="8" t="str">
        <f t="shared" si="266"/>
        <v>-</v>
      </c>
      <c r="J944" s="8" t="str">
        <f t="shared" si="266"/>
        <v>-</v>
      </c>
    </row>
    <row r="945" spans="1:11">
      <c r="A945" s="35"/>
      <c r="B945" s="36"/>
      <c r="C945" s="9" t="s">
        <v>7</v>
      </c>
      <c r="D945" s="10">
        <f>IF(D944="-","-",D944/MAX($C939:$C943))</f>
        <v>130.6</v>
      </c>
      <c r="E945" s="10">
        <f>IF(E944="-","-",E944/MAX($C939:$C943))</f>
        <v>138.4</v>
      </c>
      <c r="F945" s="10" t="str">
        <f>IF(F944="-","-",F944/ (MAX($C939:$C943)-2))</f>
        <v>-</v>
      </c>
      <c r="G945" s="10" t="str">
        <f>IF(G944="-","-",G944/MAX($C939:$C943))</f>
        <v>-</v>
      </c>
      <c r="H945" s="10">
        <f>IF(H944="-","-",H944/MAX($C939:$C943))</f>
        <v>149.4</v>
      </c>
      <c r="I945" s="10" t="str">
        <f>IF(I944="-","-",I944/MAX($C939:$C943))</f>
        <v>-</v>
      </c>
      <c r="J945" s="10" t="str">
        <f>IF(J944="-","-",J944/MAX($C939:$C943))</f>
        <v>-</v>
      </c>
    </row>
    <row r="946" spans="1:11">
      <c r="A946" s="34" t="s">
        <v>131</v>
      </c>
      <c r="B946" s="36">
        <v>46293</v>
      </c>
      <c r="C946" s="1">
        <v>1</v>
      </c>
      <c r="D946" s="1">
        <v>148</v>
      </c>
      <c r="E946" s="1" t="s">
        <v>130</v>
      </c>
      <c r="F946" s="1" t="s">
        <v>8</v>
      </c>
      <c r="G946" s="1" t="s">
        <v>8</v>
      </c>
      <c r="H946" s="1">
        <v>135</v>
      </c>
      <c r="I946" s="1">
        <v>84</v>
      </c>
      <c r="J946" s="1" t="s">
        <v>8</v>
      </c>
    </row>
    <row r="947" spans="1:11">
      <c r="A947" s="35"/>
      <c r="B947" s="36"/>
      <c r="C947" s="1">
        <v>2</v>
      </c>
      <c r="D947" s="1">
        <v>124</v>
      </c>
      <c r="E947" s="1" t="s">
        <v>130</v>
      </c>
      <c r="F947" s="1" t="s">
        <v>8</v>
      </c>
      <c r="G947" s="1" t="s">
        <v>8</v>
      </c>
      <c r="H947" s="1">
        <v>111</v>
      </c>
      <c r="I947" s="1">
        <v>126</v>
      </c>
      <c r="J947" s="1" t="s">
        <v>8</v>
      </c>
    </row>
    <row r="948" spans="1:11">
      <c r="A948" s="35"/>
      <c r="B948" s="36"/>
      <c r="C948" s="1">
        <v>3</v>
      </c>
      <c r="D948" s="1">
        <v>145</v>
      </c>
      <c r="E948" s="1" t="s">
        <v>130</v>
      </c>
      <c r="F948" s="1" t="s">
        <v>8</v>
      </c>
      <c r="G948" s="1" t="s">
        <v>8</v>
      </c>
      <c r="H948" s="1">
        <v>160</v>
      </c>
      <c r="I948" s="1">
        <v>149</v>
      </c>
      <c r="J948" s="1" t="s">
        <v>8</v>
      </c>
    </row>
    <row r="949" spans="1:11">
      <c r="A949" s="35"/>
      <c r="B949" s="36"/>
      <c r="C949" s="1">
        <v>4</v>
      </c>
      <c r="D949" s="1">
        <v>136</v>
      </c>
      <c r="E949" s="1" t="s">
        <v>130</v>
      </c>
      <c r="F949" s="1" t="s">
        <v>8</v>
      </c>
      <c r="G949" s="1" t="s">
        <v>8</v>
      </c>
      <c r="H949" s="1">
        <v>128</v>
      </c>
      <c r="I949" s="1">
        <v>93</v>
      </c>
      <c r="J949" s="1" t="s">
        <v>8</v>
      </c>
    </row>
    <row r="950" spans="1:11">
      <c r="A950" s="35"/>
      <c r="B950" s="36"/>
      <c r="C950" s="1">
        <v>5</v>
      </c>
      <c r="D950" s="1">
        <v>130</v>
      </c>
      <c r="E950" s="1" t="s">
        <v>130</v>
      </c>
      <c r="F950" s="1" t="s">
        <v>8</v>
      </c>
      <c r="G950" s="1" t="s">
        <v>8</v>
      </c>
      <c r="H950" s="1">
        <v>133</v>
      </c>
      <c r="I950" s="1">
        <v>118</v>
      </c>
      <c r="J950" s="1" t="s">
        <v>8</v>
      </c>
    </row>
    <row r="951" spans="1:11">
      <c r="A951" s="35"/>
      <c r="B951" s="36"/>
      <c r="C951" s="7" t="s">
        <v>6</v>
      </c>
      <c r="D951" s="8">
        <f t="shared" ref="D951:J951" si="267">IF(SUM(D946:D950)=0,"-",SUM(D946:D950))</f>
        <v>683</v>
      </c>
      <c r="E951" s="8" t="str">
        <f t="shared" si="267"/>
        <v>-</v>
      </c>
      <c r="F951" s="8" t="str">
        <f t="shared" si="267"/>
        <v>-</v>
      </c>
      <c r="G951" s="8" t="str">
        <f t="shared" si="267"/>
        <v>-</v>
      </c>
      <c r="H951" s="8">
        <f t="shared" si="267"/>
        <v>667</v>
      </c>
      <c r="I951" s="8">
        <f t="shared" si="267"/>
        <v>570</v>
      </c>
      <c r="J951" s="8" t="str">
        <f t="shared" si="267"/>
        <v>-</v>
      </c>
    </row>
    <row r="952" spans="1:11">
      <c r="A952" s="35"/>
      <c r="B952" s="36"/>
      <c r="C952" s="9" t="s">
        <v>7</v>
      </c>
      <c r="D952" s="10">
        <f>IF(D951="-","-",D951/MAX($C946:$C950))</f>
        <v>136.6</v>
      </c>
      <c r="E952" s="10" t="str">
        <f>IF(E951="-","-",E951/MAX($C946:$C950))</f>
        <v>-</v>
      </c>
      <c r="F952" s="10" t="str">
        <f>IF(F951="-","-",F951/ (MAX($C946:$C950)-2))</f>
        <v>-</v>
      </c>
      <c r="G952" s="10" t="str">
        <f>IF(G951="-","-",G951/MAX($C946:$C950))</f>
        <v>-</v>
      </c>
      <c r="H952" s="10">
        <f>IF(H951="-","-",H951/MAX($C946:$C950))</f>
        <v>133.4</v>
      </c>
      <c r="I952" s="10">
        <f>IF(I951="-","-",I951/MAX($C946:$C950))</f>
        <v>114</v>
      </c>
      <c r="J952" s="10" t="str">
        <f>IF(J951="-","-",J951/MAX($C946:$C950))</f>
        <v>-</v>
      </c>
    </row>
    <row r="953" spans="1:11">
      <c r="A953" s="34" t="s">
        <v>132</v>
      </c>
      <c r="B953" s="36">
        <v>46303</v>
      </c>
      <c r="C953" s="1">
        <v>1</v>
      </c>
      <c r="D953" s="1">
        <v>178</v>
      </c>
      <c r="E953" s="1">
        <v>160</v>
      </c>
      <c r="F953" s="1" t="s">
        <v>8</v>
      </c>
      <c r="G953" s="1" t="s">
        <v>8</v>
      </c>
      <c r="H953" s="1">
        <v>121</v>
      </c>
      <c r="I953" s="1">
        <v>119</v>
      </c>
      <c r="J953" s="1" t="s">
        <v>8</v>
      </c>
    </row>
    <row r="954" spans="1:11">
      <c r="A954" s="35"/>
      <c r="B954" s="36"/>
      <c r="C954" s="1">
        <v>2</v>
      </c>
      <c r="D954" s="1">
        <v>156</v>
      </c>
      <c r="E954" s="1">
        <v>155</v>
      </c>
      <c r="F954" s="1" t="s">
        <v>8</v>
      </c>
      <c r="G954" s="1" t="s">
        <v>8</v>
      </c>
      <c r="H954" s="1">
        <v>146</v>
      </c>
      <c r="I954" s="1">
        <v>105</v>
      </c>
      <c r="J954" s="1" t="s">
        <v>8</v>
      </c>
    </row>
    <row r="955" spans="1:11">
      <c r="A955" s="35"/>
      <c r="B955" s="36"/>
      <c r="C955" s="1">
        <v>3</v>
      </c>
      <c r="D955" s="1">
        <v>145</v>
      </c>
      <c r="E955" s="1">
        <v>142</v>
      </c>
      <c r="F955" s="1" t="s">
        <v>8</v>
      </c>
      <c r="G955" s="1" t="s">
        <v>8</v>
      </c>
      <c r="H955" s="1">
        <v>124</v>
      </c>
      <c r="I955" s="1">
        <v>171</v>
      </c>
      <c r="J955" s="1" t="s">
        <v>8</v>
      </c>
    </row>
    <row r="956" spans="1:11">
      <c r="A956" s="35"/>
      <c r="B956" s="36"/>
      <c r="C956" s="1">
        <v>4</v>
      </c>
      <c r="D956" s="1">
        <v>152</v>
      </c>
      <c r="E956" s="1">
        <v>143</v>
      </c>
      <c r="F956" s="1" t="s">
        <v>8</v>
      </c>
      <c r="G956" s="1" t="s">
        <v>8</v>
      </c>
      <c r="H956" s="1">
        <v>135</v>
      </c>
      <c r="I956" s="1">
        <v>127</v>
      </c>
      <c r="J956" s="1" t="s">
        <v>8</v>
      </c>
    </row>
    <row r="957" spans="1:11">
      <c r="A957" s="35"/>
      <c r="B957" s="36"/>
      <c r="C957" s="1">
        <v>5</v>
      </c>
      <c r="D957" s="1">
        <v>131</v>
      </c>
      <c r="E957" s="1">
        <v>127</v>
      </c>
      <c r="F957" s="1" t="s">
        <v>8</v>
      </c>
      <c r="G957" s="1" t="s">
        <v>8</v>
      </c>
      <c r="H957" s="1">
        <v>114</v>
      </c>
      <c r="I957" s="1">
        <v>120</v>
      </c>
      <c r="J957" s="1" t="s">
        <v>8</v>
      </c>
    </row>
    <row r="958" spans="1:11">
      <c r="A958" s="35"/>
      <c r="B958" s="36"/>
      <c r="C958" s="7" t="s">
        <v>6</v>
      </c>
      <c r="D958" s="8">
        <f t="shared" ref="D958:J958" si="268">IF(SUM(D953:D957)=0,"-",SUM(D953:D957))</f>
        <v>762</v>
      </c>
      <c r="E958" s="8">
        <f t="shared" si="268"/>
        <v>727</v>
      </c>
      <c r="F958" s="8" t="str">
        <f t="shared" si="268"/>
        <v>-</v>
      </c>
      <c r="G958" s="8" t="str">
        <f t="shared" si="268"/>
        <v>-</v>
      </c>
      <c r="H958" s="8">
        <f t="shared" si="268"/>
        <v>640</v>
      </c>
      <c r="I958" s="8">
        <f t="shared" si="268"/>
        <v>642</v>
      </c>
      <c r="J958" s="8" t="str">
        <f t="shared" si="268"/>
        <v>-</v>
      </c>
    </row>
    <row r="959" spans="1:11">
      <c r="A959" s="35"/>
      <c r="B959" s="36"/>
      <c r="C959" s="9" t="s">
        <v>7</v>
      </c>
      <c r="D959" s="10">
        <f>IF(D958="-","-",D958/MAX($C953:$C957))</f>
        <v>152.4</v>
      </c>
      <c r="E959" s="10">
        <f>IF(E958="-","-",E958/MAX($C953:$C957))</f>
        <v>145.4</v>
      </c>
      <c r="F959" s="10" t="str">
        <f>IF(F958="-","-",F958/ (MAX($C953:$C957)-2))</f>
        <v>-</v>
      </c>
      <c r="G959" s="10" t="str">
        <f>IF(G958="-","-",G958/MAX($C953:$C957))</f>
        <v>-</v>
      </c>
      <c r="H959" s="10">
        <f>IF(H958="-","-",H958/MAX($C953:$C957))</f>
        <v>128</v>
      </c>
      <c r="I959" s="10">
        <f>IF(I958="-","-",I958/MAX($C953:$C957))</f>
        <v>128.4</v>
      </c>
      <c r="J959" s="10" t="str">
        <f>IF(J958="-","-",J958/MAX($C953:$C957))</f>
        <v>-</v>
      </c>
    </row>
    <row r="960" spans="1:11">
      <c r="A960" s="13"/>
      <c r="B960" s="17"/>
      <c r="C960" s="17"/>
      <c r="D960" s="18"/>
      <c r="E960" s="18"/>
      <c r="F960" s="18"/>
      <c r="K960">
        <v>1</v>
      </c>
    </row>
    <row r="961" spans="1:12">
      <c r="A961" s="13"/>
      <c r="B961" s="17"/>
      <c r="C961" s="17"/>
      <c r="D961" s="18"/>
      <c r="E961" s="18"/>
      <c r="F961" s="18"/>
      <c r="K961">
        <v>2</v>
      </c>
    </row>
    <row r="962" spans="1:12">
      <c r="A962" s="13"/>
      <c r="B962" s="17"/>
      <c r="C962" s="17"/>
      <c r="D962" s="18"/>
      <c r="E962" s="18"/>
      <c r="F962" s="18"/>
      <c r="K962">
        <v>3</v>
      </c>
    </row>
    <row r="963" spans="1:12">
      <c r="A963" s="13"/>
      <c r="B963" s="17"/>
      <c r="C963" s="17"/>
      <c r="D963" s="18"/>
      <c r="E963" s="18"/>
      <c r="F963" s="18"/>
      <c r="K963">
        <v>4</v>
      </c>
    </row>
    <row r="964" spans="1:12">
      <c r="A964" s="13"/>
      <c r="B964" s="17"/>
      <c r="C964" s="17"/>
      <c r="D964" s="18"/>
      <c r="E964" s="18"/>
      <c r="F964" s="18"/>
      <c r="K964">
        <v>5</v>
      </c>
    </row>
    <row r="965" spans="1:12">
      <c r="B965" s="17"/>
      <c r="K965">
        <v>6</v>
      </c>
    </row>
    <row r="966" spans="1:12">
      <c r="B966" s="17"/>
      <c r="K966">
        <v>7</v>
      </c>
    </row>
    <row r="967" spans="1:12">
      <c r="C967" s="7" t="s">
        <v>9</v>
      </c>
      <c r="D967" s="8">
        <f>SUMIF($C3:$C959,"小計",D3:D959)</f>
        <v>78379</v>
      </c>
      <c r="E967" s="8">
        <f>SUMIF($C3:$C959,"小計",E3:E959)</f>
        <v>74653</v>
      </c>
      <c r="F967" s="8">
        <f>SUMIF($C3:$C421,"小計",F3:F421)</f>
        <v>1468</v>
      </c>
      <c r="G967" s="8">
        <f>SUMIF($C3:$C203,"小計",G3:G203)</f>
        <v>6100</v>
      </c>
      <c r="H967" s="8">
        <f>SUMIF($C3:$C959,"小計",H3:H959)</f>
        <v>35811</v>
      </c>
      <c r="I967" s="8">
        <f>SUMIF($C3:$C959,"小計",I3:I959)</f>
        <v>16764</v>
      </c>
      <c r="J967" s="8">
        <f>SUMIF($C3:$C714,"小計",J3:J714)</f>
        <v>566</v>
      </c>
    </row>
    <row r="968" spans="1:12">
      <c r="C968" s="9" t="s">
        <v>10</v>
      </c>
      <c r="D968" s="10">
        <f>D967/COUNT(C3:C41,C47:C77,C85:C147,C156:C595,C603:C644,C652:C672,C680:C770,C778:C889,C904:C959)</f>
        <v>121.89580093312597</v>
      </c>
      <c r="E968" s="10">
        <f>E967/COUNT(C3:C326,C334:C340,C349:C355,C364:C384,C397:C405,C415:C421,C430:C602,C610:C623,C638:C651,C659:C686,C701:C728,C743:C749,C771:C777,C785:C791,C799:C826,C834:C840,C848:C861,C869:C875,C890:C903,C911:C931,C939:C945,C953:C959)</f>
        <v>137.2297794117647</v>
      </c>
      <c r="F968" s="10">
        <f>F967/COUNT(C3:C7,C15:C19,C250:C253,C401:C403)</f>
        <v>112.92307692307692</v>
      </c>
      <c r="G968" s="10">
        <f>G967/COUNT(C85:C105,C136:C147,C156:C192,C197:C203)</f>
        <v>110.90909090909091</v>
      </c>
      <c r="H968" s="10">
        <f>H967/COUNT(C439:C595,C610:C644,C652:C658,C673:C749,C757:C763,C778:C959)</f>
        <v>107.54054054054055</v>
      </c>
      <c r="I968" s="10">
        <f>I967/COUNT(C561:C574,C582:C595,C617:C623,C638:C644,C659:C665,C673:C686,C701:C735,C743:C749,C785:C791,C799:C819,C841:C875,C883:C889,C904:C924,C932:C938,C946:C959)</f>
        <v>108.15483870967742</v>
      </c>
      <c r="J968" s="10">
        <f>J967/COUNT(C708:C714)</f>
        <v>113.2</v>
      </c>
    </row>
    <row r="969" spans="1:12">
      <c r="C969" s="17"/>
      <c r="D969" s="18"/>
      <c r="E969" s="18"/>
      <c r="F969" s="18"/>
      <c r="G969" s="18"/>
      <c r="H969" s="18"/>
      <c r="I969" s="18"/>
      <c r="J969" s="18"/>
    </row>
    <row r="970" spans="1:12">
      <c r="C970" s="17"/>
      <c r="D970" s="18">
        <v>121.46656050955414</v>
      </c>
      <c r="E970" s="18">
        <v>137.14232209737827</v>
      </c>
      <c r="F970" s="18">
        <v>112.92307692307692</v>
      </c>
      <c r="G970" s="18">
        <v>110.90909090909091</v>
      </c>
      <c r="H970" s="18">
        <v>106.15408805031447</v>
      </c>
      <c r="I970" s="18">
        <v>107.2551724137931</v>
      </c>
      <c r="J970" s="18">
        <v>113.2</v>
      </c>
      <c r="L970" s="19"/>
    </row>
    <row r="971" spans="1:12">
      <c r="C971" s="17"/>
      <c r="D971" s="18"/>
      <c r="E971" s="18"/>
      <c r="F971" s="18"/>
    </row>
  </sheetData>
  <mergeCells count="274">
    <mergeCell ref="A939:A945"/>
    <mergeCell ref="B939:B945"/>
    <mergeCell ref="A946:A952"/>
    <mergeCell ref="B946:B952"/>
    <mergeCell ref="A953:A959"/>
    <mergeCell ref="B953:B959"/>
    <mergeCell ref="A876:A882"/>
    <mergeCell ref="B876:B882"/>
    <mergeCell ref="A841:A847"/>
    <mergeCell ref="B841:B847"/>
    <mergeCell ref="A778:A784"/>
    <mergeCell ref="B778:B784"/>
    <mergeCell ref="A785:A791"/>
    <mergeCell ref="B785:B791"/>
    <mergeCell ref="A792:A798"/>
    <mergeCell ref="B792:B798"/>
    <mergeCell ref="A799:A805"/>
    <mergeCell ref="B799:B805"/>
    <mergeCell ref="A806:A812"/>
    <mergeCell ref="B806:B812"/>
    <mergeCell ref="A813:A819"/>
    <mergeCell ref="B813:B819"/>
    <mergeCell ref="A848:A854"/>
    <mergeCell ref="B848:B854"/>
    <mergeCell ref="A855:A861"/>
    <mergeCell ref="B855:B861"/>
    <mergeCell ref="A862:A868"/>
    <mergeCell ref="B862:B868"/>
    <mergeCell ref="A715:A721"/>
    <mergeCell ref="B715:B721"/>
    <mergeCell ref="A722:A728"/>
    <mergeCell ref="B722:B728"/>
    <mergeCell ref="A729:A735"/>
    <mergeCell ref="B729:B735"/>
    <mergeCell ref="A869:A875"/>
    <mergeCell ref="B869:B875"/>
    <mergeCell ref="A736:A742"/>
    <mergeCell ref="B736:B742"/>
    <mergeCell ref="A743:A749"/>
    <mergeCell ref="B743:B749"/>
    <mergeCell ref="A820:A826"/>
    <mergeCell ref="B820:B826"/>
    <mergeCell ref="A827:A833"/>
    <mergeCell ref="B827:B833"/>
    <mergeCell ref="A834:A840"/>
    <mergeCell ref="B834:B840"/>
    <mergeCell ref="A617:A623"/>
    <mergeCell ref="A764:A770"/>
    <mergeCell ref="B764:B770"/>
    <mergeCell ref="A771:A777"/>
    <mergeCell ref="B771:B777"/>
    <mergeCell ref="B617:B623"/>
    <mergeCell ref="A589:A595"/>
    <mergeCell ref="B589:B595"/>
    <mergeCell ref="A610:A616"/>
    <mergeCell ref="B610:B616"/>
    <mergeCell ref="A680:A686"/>
    <mergeCell ref="B680:B686"/>
    <mergeCell ref="A687:A693"/>
    <mergeCell ref="B687:B693"/>
    <mergeCell ref="A750:A756"/>
    <mergeCell ref="B750:B756"/>
    <mergeCell ref="A757:A763"/>
    <mergeCell ref="B757:B763"/>
    <mergeCell ref="A694:A700"/>
    <mergeCell ref="B694:B700"/>
    <mergeCell ref="A701:A707"/>
    <mergeCell ref="B701:B707"/>
    <mergeCell ref="A708:A714"/>
    <mergeCell ref="B708:B714"/>
    <mergeCell ref="A673:A679"/>
    <mergeCell ref="B673:B679"/>
    <mergeCell ref="A652:A658"/>
    <mergeCell ref="B652:B658"/>
    <mergeCell ref="A645:A651"/>
    <mergeCell ref="B645:B651"/>
    <mergeCell ref="A659:A665"/>
    <mergeCell ref="B659:B665"/>
    <mergeCell ref="A624:A630"/>
    <mergeCell ref="B624:B630"/>
    <mergeCell ref="A631:A637"/>
    <mergeCell ref="B631:B637"/>
    <mergeCell ref="A638:A644"/>
    <mergeCell ref="B638:B644"/>
    <mergeCell ref="A666:A672"/>
    <mergeCell ref="B666:B672"/>
    <mergeCell ref="B467:B476"/>
    <mergeCell ref="B477:B483"/>
    <mergeCell ref="A467:A476"/>
    <mergeCell ref="A484:A490"/>
    <mergeCell ref="B484:B490"/>
    <mergeCell ref="A498:A504"/>
    <mergeCell ref="B498:B504"/>
    <mergeCell ref="A554:A560"/>
    <mergeCell ref="B554:B560"/>
    <mergeCell ref="A512:A518"/>
    <mergeCell ref="B512:B518"/>
    <mergeCell ref="A505:A511"/>
    <mergeCell ref="B505:B511"/>
    <mergeCell ref="A491:A497"/>
    <mergeCell ref="B491:B497"/>
    <mergeCell ref="A533:A539"/>
    <mergeCell ref="B533:B539"/>
    <mergeCell ref="A561:A567"/>
    <mergeCell ref="B561:B567"/>
    <mergeCell ref="A547:A553"/>
    <mergeCell ref="B547:B553"/>
    <mergeCell ref="A477:A483"/>
    <mergeCell ref="A603:A609"/>
    <mergeCell ref="B603:B609"/>
    <mergeCell ref="A596:A602"/>
    <mergeCell ref="B596:B602"/>
    <mergeCell ref="A568:A574"/>
    <mergeCell ref="B568:B574"/>
    <mergeCell ref="A575:A581"/>
    <mergeCell ref="B575:B581"/>
    <mergeCell ref="A582:A588"/>
    <mergeCell ref="B582:B588"/>
    <mergeCell ref="A70:A77"/>
    <mergeCell ref="B70:B77"/>
    <mergeCell ref="A62:A69"/>
    <mergeCell ref="B62:B69"/>
    <mergeCell ref="A92:A98"/>
    <mergeCell ref="B92:B98"/>
    <mergeCell ref="A85:A91"/>
    <mergeCell ref="B85:B91"/>
    <mergeCell ref="A385:A390"/>
    <mergeCell ref="B385:B390"/>
    <mergeCell ref="A78:A84"/>
    <mergeCell ref="B78:B84"/>
    <mergeCell ref="A148:A155"/>
    <mergeCell ref="B148:B155"/>
    <mergeCell ref="A136:A140"/>
    <mergeCell ref="B136:B140"/>
    <mergeCell ref="A141:A147"/>
    <mergeCell ref="B141:B147"/>
    <mergeCell ref="A179:A185"/>
    <mergeCell ref="B179:B185"/>
    <mergeCell ref="A106:A113"/>
    <mergeCell ref="B106:B113"/>
    <mergeCell ref="A114:A120"/>
    <mergeCell ref="B114:B120"/>
    <mergeCell ref="B20:B26"/>
    <mergeCell ref="B27:B34"/>
    <mergeCell ref="A20:A26"/>
    <mergeCell ref="A27:A34"/>
    <mergeCell ref="A55:A61"/>
    <mergeCell ref="B55:B61"/>
    <mergeCell ref="A47:A54"/>
    <mergeCell ref="B47:B54"/>
    <mergeCell ref="A35:A41"/>
    <mergeCell ref="B35:B41"/>
    <mergeCell ref="A42:A46"/>
    <mergeCell ref="B42:B46"/>
    <mergeCell ref="A1:A2"/>
    <mergeCell ref="A3:A7"/>
    <mergeCell ref="A8:A14"/>
    <mergeCell ref="A15:A19"/>
    <mergeCell ref="B3:B7"/>
    <mergeCell ref="C1:C2"/>
    <mergeCell ref="B1:B2"/>
    <mergeCell ref="B8:B14"/>
    <mergeCell ref="B15:B19"/>
    <mergeCell ref="A99:A105"/>
    <mergeCell ref="B99:B105"/>
    <mergeCell ref="A121:A127"/>
    <mergeCell ref="B121:B127"/>
    <mergeCell ref="A128:A135"/>
    <mergeCell ref="B128:B135"/>
    <mergeCell ref="A197:A203"/>
    <mergeCell ref="B197:B203"/>
    <mergeCell ref="A186:A192"/>
    <mergeCell ref="B186:B192"/>
    <mergeCell ref="A193:A196"/>
    <mergeCell ref="B193:B196"/>
    <mergeCell ref="A156:A162"/>
    <mergeCell ref="B156:B162"/>
    <mergeCell ref="A163:A171"/>
    <mergeCell ref="B163:B171"/>
    <mergeCell ref="A172:A178"/>
    <mergeCell ref="B172:B178"/>
    <mergeCell ref="A204:A211"/>
    <mergeCell ref="B204:B211"/>
    <mergeCell ref="A212:A219"/>
    <mergeCell ref="B212:B219"/>
    <mergeCell ref="A220:A226"/>
    <mergeCell ref="B220:B226"/>
    <mergeCell ref="A248:A255"/>
    <mergeCell ref="B248:B255"/>
    <mergeCell ref="A256:A262"/>
    <mergeCell ref="B256:B262"/>
    <mergeCell ref="A227:A233"/>
    <mergeCell ref="B227:B233"/>
    <mergeCell ref="A234:A240"/>
    <mergeCell ref="B234:B240"/>
    <mergeCell ref="A241:A247"/>
    <mergeCell ref="B241:B247"/>
    <mergeCell ref="A371:A377"/>
    <mergeCell ref="B371:B377"/>
    <mergeCell ref="A277:A283"/>
    <mergeCell ref="B277:B283"/>
    <mergeCell ref="A320:A326"/>
    <mergeCell ref="B320:B326"/>
    <mergeCell ref="A327:A333"/>
    <mergeCell ref="B327:B333"/>
    <mergeCell ref="A292:A298"/>
    <mergeCell ref="B292:B298"/>
    <mergeCell ref="A313:A319"/>
    <mergeCell ref="B313:B319"/>
    <mergeCell ref="A284:A291"/>
    <mergeCell ref="B284:B291"/>
    <mergeCell ref="A270:A276"/>
    <mergeCell ref="B270:B276"/>
    <mergeCell ref="B341:B348"/>
    <mergeCell ref="A349:A355"/>
    <mergeCell ref="B349:B355"/>
    <mergeCell ref="A356:A363"/>
    <mergeCell ref="B356:B363"/>
    <mergeCell ref="A334:A340"/>
    <mergeCell ref="B334:B340"/>
    <mergeCell ref="A460:A466"/>
    <mergeCell ref="B460:B466"/>
    <mergeCell ref="A406:A414"/>
    <mergeCell ref="B406:B414"/>
    <mergeCell ref="A391:A396"/>
    <mergeCell ref="B391:B396"/>
    <mergeCell ref="A439:A445"/>
    <mergeCell ref="B439:B445"/>
    <mergeCell ref="A446:A452"/>
    <mergeCell ref="B446:B452"/>
    <mergeCell ref="A422:A429"/>
    <mergeCell ref="B422:B429"/>
    <mergeCell ref="A430:A438"/>
    <mergeCell ref="B430:B438"/>
    <mergeCell ref="A415:A421"/>
    <mergeCell ref="B415:B421"/>
    <mergeCell ref="A397:A405"/>
    <mergeCell ref="B397:B405"/>
    <mergeCell ref="A883:A889"/>
    <mergeCell ref="A897:A903"/>
    <mergeCell ref="B897:B903"/>
    <mergeCell ref="B883:B889"/>
    <mergeCell ref="D1:J1"/>
    <mergeCell ref="A378:A384"/>
    <mergeCell ref="B378:B384"/>
    <mergeCell ref="A540:A546"/>
    <mergeCell ref="B540:B546"/>
    <mergeCell ref="A299:A305"/>
    <mergeCell ref="B299:B305"/>
    <mergeCell ref="A306:A312"/>
    <mergeCell ref="B306:B312"/>
    <mergeCell ref="A519:A525"/>
    <mergeCell ref="B519:B525"/>
    <mergeCell ref="A526:A532"/>
    <mergeCell ref="B526:B532"/>
    <mergeCell ref="A364:A370"/>
    <mergeCell ref="B364:B370"/>
    <mergeCell ref="A341:A348"/>
    <mergeCell ref="A263:A269"/>
    <mergeCell ref="B263:B269"/>
    <mergeCell ref="A453:A459"/>
    <mergeCell ref="B453:B459"/>
    <mergeCell ref="A918:A924"/>
    <mergeCell ref="B918:B924"/>
    <mergeCell ref="A925:A931"/>
    <mergeCell ref="B925:B931"/>
    <mergeCell ref="A932:A938"/>
    <mergeCell ref="B932:B938"/>
    <mergeCell ref="A904:A910"/>
    <mergeCell ref="B904:B910"/>
    <mergeCell ref="A890:A896"/>
    <mergeCell ref="B890:B896"/>
    <mergeCell ref="A911:A917"/>
    <mergeCell ref="B911:B917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D5F5-5A6B-4C7F-B0BA-64E92387772B}">
  <dimension ref="A1:O689"/>
  <sheetViews>
    <sheetView zoomScale="85" zoomScaleNormal="85" workbookViewId="0">
      <pane xSplit="3" ySplit="2" topLeftCell="D663" activePane="bottomRight" state="frozen"/>
      <selection pane="topRight" activeCell="D1" sqref="D1"/>
      <selection pane="bottomLeft" activeCell="A3" sqref="A3"/>
      <selection pane="bottomRight" activeCell="F121" sqref="F121:F123"/>
    </sheetView>
  </sheetViews>
  <sheetFormatPr defaultRowHeight="16.5"/>
  <cols>
    <col min="2" max="2" width="16.5" customWidth="1"/>
    <col min="3" max="3" width="11.625" customWidth="1"/>
    <col min="6" max="6" width="8.875" customWidth="1"/>
  </cols>
  <sheetData>
    <row r="1" spans="1:15">
      <c r="A1" s="41" t="s">
        <v>11</v>
      </c>
      <c r="B1" s="41" t="s">
        <v>4</v>
      </c>
      <c r="C1" s="41" t="s">
        <v>5</v>
      </c>
      <c r="D1" s="57" t="s">
        <v>0</v>
      </c>
      <c r="E1" s="58"/>
      <c r="F1" s="59"/>
      <c r="G1" s="20"/>
      <c r="H1" s="20"/>
      <c r="I1" s="20"/>
      <c r="J1" s="20"/>
    </row>
    <row r="2" spans="1:15">
      <c r="A2" s="41"/>
      <c r="B2" s="41"/>
      <c r="C2" s="41"/>
      <c r="D2" s="2" t="s">
        <v>1</v>
      </c>
      <c r="E2" s="3" t="s">
        <v>3</v>
      </c>
      <c r="F2" s="4" t="s">
        <v>2</v>
      </c>
      <c r="G2" s="21" t="s">
        <v>17</v>
      </c>
      <c r="H2" s="27" t="s">
        <v>52</v>
      </c>
      <c r="I2" s="28" t="s">
        <v>70</v>
      </c>
      <c r="J2" s="32" t="s">
        <v>91</v>
      </c>
    </row>
    <row r="3" spans="1:15">
      <c r="A3" s="41">
        <v>1</v>
      </c>
      <c r="B3" s="36">
        <v>44069</v>
      </c>
      <c r="C3" s="1">
        <v>1</v>
      </c>
      <c r="D3" s="1">
        <v>135</v>
      </c>
      <c r="E3" s="1">
        <v>111</v>
      </c>
      <c r="F3" s="1">
        <v>96</v>
      </c>
      <c r="G3" s="1" t="e">
        <f>NA()</f>
        <v>#N/A</v>
      </c>
      <c r="H3" s="1" t="e">
        <f>NA()</f>
        <v>#N/A</v>
      </c>
      <c r="I3" s="1" t="e">
        <f>NA()</f>
        <v>#N/A</v>
      </c>
      <c r="J3" s="1" t="e">
        <f>NA()</f>
        <v>#N/A</v>
      </c>
    </row>
    <row r="4" spans="1:15">
      <c r="A4" s="41"/>
      <c r="B4" s="36"/>
      <c r="C4" s="1">
        <v>2</v>
      </c>
      <c r="D4" s="1">
        <v>141</v>
      </c>
      <c r="E4" s="1">
        <v>125</v>
      </c>
      <c r="F4" s="1">
        <v>116</v>
      </c>
      <c r="G4" s="1" t="e">
        <f>NA()</f>
        <v>#N/A</v>
      </c>
      <c r="H4" s="1" t="e">
        <f>NA()</f>
        <v>#N/A</v>
      </c>
      <c r="I4" s="33" t="e">
        <f>NA()</f>
        <v>#N/A</v>
      </c>
      <c r="J4" s="1" t="e">
        <f>NA()</f>
        <v>#N/A</v>
      </c>
    </row>
    <row r="5" spans="1:15">
      <c r="A5" s="41"/>
      <c r="B5" s="36"/>
      <c r="C5" s="1">
        <v>3</v>
      </c>
      <c r="D5" s="1">
        <v>124</v>
      </c>
      <c r="E5" s="1">
        <v>181</v>
      </c>
      <c r="F5" s="1">
        <v>104</v>
      </c>
      <c r="G5" s="1" t="e">
        <f>NA()</f>
        <v>#N/A</v>
      </c>
      <c r="H5" s="1" t="e">
        <f>NA()</f>
        <v>#N/A</v>
      </c>
      <c r="I5" s="1" t="e">
        <f>NA()</f>
        <v>#N/A</v>
      </c>
      <c r="J5" s="1" t="e">
        <f>NA()</f>
        <v>#N/A</v>
      </c>
      <c r="O5" s="5"/>
    </row>
    <row r="6" spans="1:15">
      <c r="A6" s="41">
        <v>2</v>
      </c>
      <c r="B6" s="36">
        <v>44078</v>
      </c>
      <c r="C6" s="1">
        <v>1</v>
      </c>
      <c r="D6" s="1">
        <v>107</v>
      </c>
      <c r="E6" s="1">
        <v>159</v>
      </c>
      <c r="F6" s="1" t="e">
        <f>NA()</f>
        <v>#N/A</v>
      </c>
      <c r="G6" s="1" t="e">
        <f>NA()</f>
        <v>#N/A</v>
      </c>
      <c r="H6" s="1" t="e">
        <f>NA()</f>
        <v>#N/A</v>
      </c>
      <c r="I6" s="1" t="e">
        <f>NA()</f>
        <v>#N/A</v>
      </c>
      <c r="J6" s="1" t="e">
        <f>NA()</f>
        <v>#N/A</v>
      </c>
    </row>
    <row r="7" spans="1:15">
      <c r="A7" s="41"/>
      <c r="B7" s="36"/>
      <c r="C7" s="1">
        <v>2</v>
      </c>
      <c r="D7" s="1">
        <v>117</v>
      </c>
      <c r="E7" s="1">
        <v>185</v>
      </c>
      <c r="F7" s="1" t="e">
        <f>NA()</f>
        <v>#N/A</v>
      </c>
      <c r="G7" s="1" t="e">
        <f>NA()</f>
        <v>#N/A</v>
      </c>
      <c r="H7" s="1" t="e">
        <f>NA()</f>
        <v>#N/A</v>
      </c>
      <c r="I7" s="1" t="e">
        <f>NA()</f>
        <v>#N/A</v>
      </c>
      <c r="J7" s="1" t="e">
        <f>NA()</f>
        <v>#N/A</v>
      </c>
    </row>
    <row r="8" spans="1:15">
      <c r="A8" s="41"/>
      <c r="B8" s="36"/>
      <c r="C8" s="1">
        <v>3</v>
      </c>
      <c r="D8" s="1">
        <v>117</v>
      </c>
      <c r="E8" s="1">
        <v>145</v>
      </c>
      <c r="F8" s="1" t="e">
        <f>NA()</f>
        <v>#N/A</v>
      </c>
      <c r="G8" s="1" t="e">
        <f>NA()</f>
        <v>#N/A</v>
      </c>
      <c r="H8" s="1" t="e">
        <f>NA()</f>
        <v>#N/A</v>
      </c>
      <c r="I8" s="1" t="e">
        <f>NA()</f>
        <v>#N/A</v>
      </c>
      <c r="J8" s="1" t="e">
        <f>NA()</f>
        <v>#N/A</v>
      </c>
    </row>
    <row r="9" spans="1:15">
      <c r="A9" s="41"/>
      <c r="B9" s="36"/>
      <c r="C9" s="1">
        <v>4</v>
      </c>
      <c r="D9" s="1">
        <v>110</v>
      </c>
      <c r="E9" s="1">
        <v>132</v>
      </c>
      <c r="F9" s="1" t="e">
        <f>NA()</f>
        <v>#N/A</v>
      </c>
      <c r="G9" s="1" t="e">
        <f>NA()</f>
        <v>#N/A</v>
      </c>
      <c r="H9" s="1" t="e">
        <f>NA()</f>
        <v>#N/A</v>
      </c>
      <c r="I9" s="1" t="e">
        <f>NA()</f>
        <v>#N/A</v>
      </c>
      <c r="J9" s="1" t="e">
        <f>NA()</f>
        <v>#N/A</v>
      </c>
    </row>
    <row r="10" spans="1:15">
      <c r="A10" s="41"/>
      <c r="B10" s="36"/>
      <c r="C10" s="1">
        <v>5</v>
      </c>
      <c r="D10" s="1">
        <v>130</v>
      </c>
      <c r="E10" s="1">
        <v>176</v>
      </c>
      <c r="F10" s="1" t="e">
        <f>NA()</f>
        <v>#N/A</v>
      </c>
      <c r="G10" s="1" t="e">
        <f>NA()</f>
        <v>#N/A</v>
      </c>
      <c r="H10" s="1" t="e">
        <f>NA()</f>
        <v>#N/A</v>
      </c>
      <c r="I10" s="1" t="e">
        <f>NA()</f>
        <v>#N/A</v>
      </c>
      <c r="J10" s="1" t="e">
        <f>NA()</f>
        <v>#N/A</v>
      </c>
    </row>
    <row r="11" spans="1:15">
      <c r="A11" s="41">
        <v>3</v>
      </c>
      <c r="B11" s="36">
        <v>44084</v>
      </c>
      <c r="C11" s="1">
        <v>1</v>
      </c>
      <c r="D11" s="1">
        <v>142</v>
      </c>
      <c r="E11" s="1">
        <v>174</v>
      </c>
      <c r="F11" s="1">
        <v>102</v>
      </c>
      <c r="G11" s="1" t="e">
        <f>NA()</f>
        <v>#N/A</v>
      </c>
      <c r="H11" s="1" t="e">
        <f>NA()</f>
        <v>#N/A</v>
      </c>
      <c r="I11" s="1" t="e">
        <f>NA()</f>
        <v>#N/A</v>
      </c>
      <c r="J11" s="1" t="e">
        <f>NA()</f>
        <v>#N/A</v>
      </c>
    </row>
    <row r="12" spans="1:15">
      <c r="A12" s="41"/>
      <c r="B12" s="36"/>
      <c r="C12" s="1">
        <v>2</v>
      </c>
      <c r="D12" s="1">
        <v>100</v>
      </c>
      <c r="E12" s="1">
        <v>158</v>
      </c>
      <c r="F12" s="1">
        <v>127</v>
      </c>
      <c r="G12" s="1" t="e">
        <f>NA()</f>
        <v>#N/A</v>
      </c>
      <c r="H12" s="1" t="e">
        <f>NA()</f>
        <v>#N/A</v>
      </c>
      <c r="I12" s="1" t="e">
        <f>NA()</f>
        <v>#N/A</v>
      </c>
      <c r="J12" s="1" t="e">
        <f>NA()</f>
        <v>#N/A</v>
      </c>
    </row>
    <row r="13" spans="1:15">
      <c r="A13" s="41"/>
      <c r="B13" s="36"/>
      <c r="C13" s="1">
        <v>3</v>
      </c>
      <c r="D13" s="1">
        <v>114</v>
      </c>
      <c r="E13" s="1">
        <v>118</v>
      </c>
      <c r="F13" s="1">
        <v>108</v>
      </c>
      <c r="G13" s="1" t="e">
        <f>NA()</f>
        <v>#N/A</v>
      </c>
      <c r="H13" s="1" t="e">
        <f>NA()</f>
        <v>#N/A</v>
      </c>
      <c r="I13" s="1" t="e">
        <f>NA()</f>
        <v>#N/A</v>
      </c>
      <c r="J13" s="1" t="e">
        <f>NA()</f>
        <v>#N/A</v>
      </c>
    </row>
    <row r="14" spans="1:15">
      <c r="A14" s="60">
        <v>4</v>
      </c>
      <c r="B14" s="36">
        <v>44091</v>
      </c>
      <c r="C14" s="1">
        <v>1</v>
      </c>
      <c r="D14" s="1">
        <v>76</v>
      </c>
      <c r="E14" s="1">
        <v>161</v>
      </c>
      <c r="F14" s="1" t="e">
        <f>NA()</f>
        <v>#N/A</v>
      </c>
      <c r="G14" s="1" t="e">
        <f>NA()</f>
        <v>#N/A</v>
      </c>
      <c r="H14" s="1" t="e">
        <f>NA()</f>
        <v>#N/A</v>
      </c>
      <c r="I14" s="1" t="e">
        <f>NA()</f>
        <v>#N/A</v>
      </c>
      <c r="J14" s="1" t="e">
        <f>NA()</f>
        <v>#N/A</v>
      </c>
    </row>
    <row r="15" spans="1:15">
      <c r="A15" s="61"/>
      <c r="B15" s="36"/>
      <c r="C15" s="1">
        <v>2</v>
      </c>
      <c r="D15" s="1">
        <v>98</v>
      </c>
      <c r="E15" s="1">
        <v>148</v>
      </c>
      <c r="F15" s="1" t="e">
        <f>NA()</f>
        <v>#N/A</v>
      </c>
      <c r="G15" s="1" t="e">
        <f>NA()</f>
        <v>#N/A</v>
      </c>
      <c r="H15" s="1" t="e">
        <f>NA()</f>
        <v>#N/A</v>
      </c>
      <c r="I15" s="1" t="e">
        <f>NA()</f>
        <v>#N/A</v>
      </c>
      <c r="J15" s="1" t="e">
        <f>NA()</f>
        <v>#N/A</v>
      </c>
    </row>
    <row r="16" spans="1:15">
      <c r="A16" s="61"/>
      <c r="B16" s="36"/>
      <c r="C16" s="1">
        <v>3</v>
      </c>
      <c r="D16" s="1">
        <v>132</v>
      </c>
      <c r="E16" s="1">
        <v>148</v>
      </c>
      <c r="F16" s="1" t="e">
        <f>NA()</f>
        <v>#N/A</v>
      </c>
      <c r="G16" s="1" t="e">
        <f>NA()</f>
        <v>#N/A</v>
      </c>
      <c r="H16" s="1" t="e">
        <f>NA()</f>
        <v>#N/A</v>
      </c>
      <c r="I16" s="1" t="e">
        <f>NA()</f>
        <v>#N/A</v>
      </c>
      <c r="J16" s="1" t="e">
        <f>NA()</f>
        <v>#N/A</v>
      </c>
    </row>
    <row r="17" spans="1:10">
      <c r="A17" s="61"/>
      <c r="B17" s="36"/>
      <c r="C17" s="1">
        <v>4</v>
      </c>
      <c r="D17" s="1">
        <v>116</v>
      </c>
      <c r="E17" s="1">
        <v>162</v>
      </c>
      <c r="F17" s="1" t="e">
        <f>NA()</f>
        <v>#N/A</v>
      </c>
      <c r="G17" s="1" t="e">
        <f>NA()</f>
        <v>#N/A</v>
      </c>
      <c r="H17" s="1" t="e">
        <f>NA()</f>
        <v>#N/A</v>
      </c>
      <c r="I17" s="1" t="e">
        <f>NA()</f>
        <v>#N/A</v>
      </c>
      <c r="J17" s="1" t="e">
        <f>NA()</f>
        <v>#N/A</v>
      </c>
    </row>
    <row r="18" spans="1:10">
      <c r="A18" s="62"/>
      <c r="B18" s="36"/>
      <c r="C18" s="1">
        <v>5</v>
      </c>
      <c r="D18" s="1">
        <v>90</v>
      </c>
      <c r="E18" s="1">
        <v>145</v>
      </c>
      <c r="F18" s="1" t="e">
        <f>NA()</f>
        <v>#N/A</v>
      </c>
      <c r="G18" s="1" t="e">
        <f>NA()</f>
        <v>#N/A</v>
      </c>
      <c r="H18" s="1" t="e">
        <f>NA()</f>
        <v>#N/A</v>
      </c>
      <c r="I18" s="1" t="e">
        <f>NA()</f>
        <v>#N/A</v>
      </c>
      <c r="J18" s="1" t="e">
        <f>NA()</f>
        <v>#N/A</v>
      </c>
    </row>
    <row r="19" spans="1:10">
      <c r="A19" s="63">
        <v>5</v>
      </c>
      <c r="B19" s="36">
        <v>44097</v>
      </c>
      <c r="C19" s="1">
        <v>1</v>
      </c>
      <c r="D19" s="1">
        <v>99</v>
      </c>
      <c r="E19" s="1">
        <v>158</v>
      </c>
      <c r="F19" s="1" t="e">
        <f>NA()</f>
        <v>#N/A</v>
      </c>
      <c r="G19" s="1" t="e">
        <f>NA()</f>
        <v>#N/A</v>
      </c>
      <c r="H19" s="1" t="e">
        <f>NA()</f>
        <v>#N/A</v>
      </c>
      <c r="I19" s="1" t="e">
        <f>NA()</f>
        <v>#N/A</v>
      </c>
      <c r="J19" s="1" t="e">
        <f>NA()</f>
        <v>#N/A</v>
      </c>
    </row>
    <row r="20" spans="1:10">
      <c r="A20" s="64"/>
      <c r="B20" s="36"/>
      <c r="C20" s="1">
        <v>2</v>
      </c>
      <c r="D20" s="1">
        <v>119</v>
      </c>
      <c r="E20" s="1">
        <v>130</v>
      </c>
      <c r="F20" s="1" t="e">
        <f>NA()</f>
        <v>#N/A</v>
      </c>
      <c r="G20" s="1" t="e">
        <f>NA()</f>
        <v>#N/A</v>
      </c>
      <c r="H20" s="1" t="e">
        <f>NA()</f>
        <v>#N/A</v>
      </c>
      <c r="I20" s="1" t="e">
        <f>NA()</f>
        <v>#N/A</v>
      </c>
      <c r="J20" s="1" t="e">
        <f>NA()</f>
        <v>#N/A</v>
      </c>
    </row>
    <row r="21" spans="1:10">
      <c r="A21" s="64"/>
      <c r="B21" s="36"/>
      <c r="C21" s="1">
        <v>3</v>
      </c>
      <c r="D21" s="1">
        <v>120</v>
      </c>
      <c r="E21" s="1">
        <v>227</v>
      </c>
      <c r="F21" s="1" t="e">
        <f>NA()</f>
        <v>#N/A</v>
      </c>
      <c r="G21" s="1" t="e">
        <f>NA()</f>
        <v>#N/A</v>
      </c>
      <c r="H21" s="1" t="e">
        <f>NA()</f>
        <v>#N/A</v>
      </c>
      <c r="I21" s="1" t="e">
        <f>NA()</f>
        <v>#N/A</v>
      </c>
      <c r="J21" s="1" t="e">
        <f>NA()</f>
        <v>#N/A</v>
      </c>
    </row>
    <row r="22" spans="1:10">
      <c r="A22" s="64"/>
      <c r="B22" s="36"/>
      <c r="C22" s="1">
        <v>4</v>
      </c>
      <c r="D22" s="1">
        <v>182</v>
      </c>
      <c r="E22" s="1">
        <v>134</v>
      </c>
      <c r="F22" s="1" t="e">
        <f>NA()</f>
        <v>#N/A</v>
      </c>
      <c r="G22" s="1" t="e">
        <f>NA()</f>
        <v>#N/A</v>
      </c>
      <c r="H22" s="1" t="e">
        <f>NA()</f>
        <v>#N/A</v>
      </c>
      <c r="I22" s="1" t="e">
        <f>NA()</f>
        <v>#N/A</v>
      </c>
      <c r="J22" s="1" t="e">
        <f>NA()</f>
        <v>#N/A</v>
      </c>
    </row>
    <row r="23" spans="1:10">
      <c r="A23" s="64"/>
      <c r="B23" s="36"/>
      <c r="C23" s="1">
        <v>5</v>
      </c>
      <c r="D23" s="1">
        <v>156</v>
      </c>
      <c r="E23" s="1">
        <v>184</v>
      </c>
      <c r="F23" s="1" t="e">
        <f>NA()</f>
        <v>#N/A</v>
      </c>
      <c r="G23" s="1" t="e">
        <f>NA()</f>
        <v>#N/A</v>
      </c>
      <c r="H23" s="1" t="e">
        <f>NA()</f>
        <v>#N/A</v>
      </c>
      <c r="I23" s="1" t="e">
        <f>NA()</f>
        <v>#N/A</v>
      </c>
      <c r="J23" s="1" t="e">
        <f>NA()</f>
        <v>#N/A</v>
      </c>
    </row>
    <row r="24" spans="1:10">
      <c r="A24" s="65"/>
      <c r="B24" s="36"/>
      <c r="C24" s="1">
        <v>6</v>
      </c>
      <c r="D24" s="1">
        <v>110</v>
      </c>
      <c r="E24" s="1">
        <v>156</v>
      </c>
      <c r="F24" s="1" t="e">
        <f>NA()</f>
        <v>#N/A</v>
      </c>
      <c r="G24" s="1" t="e">
        <f>NA()</f>
        <v>#N/A</v>
      </c>
      <c r="H24" s="1" t="e">
        <f>NA()</f>
        <v>#N/A</v>
      </c>
      <c r="I24" s="1" t="e">
        <f>NA()</f>
        <v>#N/A</v>
      </c>
      <c r="J24" s="1" t="e">
        <f>NA()</f>
        <v>#N/A</v>
      </c>
    </row>
    <row r="25" spans="1:10">
      <c r="A25" s="48">
        <v>6</v>
      </c>
      <c r="B25" s="36">
        <v>44111</v>
      </c>
      <c r="C25" s="1">
        <v>1</v>
      </c>
      <c r="D25" s="1">
        <v>118</v>
      </c>
      <c r="E25" s="1">
        <v>154</v>
      </c>
      <c r="F25" s="1" t="e">
        <f>NA()</f>
        <v>#N/A</v>
      </c>
      <c r="G25" s="1" t="e">
        <f>NA()</f>
        <v>#N/A</v>
      </c>
      <c r="H25" s="1" t="e">
        <f>NA()</f>
        <v>#N/A</v>
      </c>
      <c r="I25" s="1" t="e">
        <f>NA()</f>
        <v>#N/A</v>
      </c>
      <c r="J25" s="1" t="e">
        <f>NA()</f>
        <v>#N/A</v>
      </c>
    </row>
    <row r="26" spans="1:10">
      <c r="A26" s="49"/>
      <c r="B26" s="36"/>
      <c r="C26" s="1">
        <v>2</v>
      </c>
      <c r="D26" s="1">
        <v>139</v>
      </c>
      <c r="E26" s="1">
        <v>126</v>
      </c>
      <c r="F26" s="1" t="e">
        <f>NA()</f>
        <v>#N/A</v>
      </c>
      <c r="G26" s="1" t="e">
        <f>NA()</f>
        <v>#N/A</v>
      </c>
      <c r="H26" s="1" t="e">
        <f>NA()</f>
        <v>#N/A</v>
      </c>
      <c r="I26" s="1" t="e">
        <f>NA()</f>
        <v>#N/A</v>
      </c>
      <c r="J26" s="1" t="e">
        <f>NA()</f>
        <v>#N/A</v>
      </c>
    </row>
    <row r="27" spans="1:10">
      <c r="A27" s="49"/>
      <c r="B27" s="36"/>
      <c r="C27" s="1">
        <v>3</v>
      </c>
      <c r="D27" s="1">
        <v>145</v>
      </c>
      <c r="E27" s="1">
        <v>149</v>
      </c>
      <c r="F27" s="1" t="e">
        <f>NA()</f>
        <v>#N/A</v>
      </c>
      <c r="G27" s="1" t="e">
        <f>NA()</f>
        <v>#N/A</v>
      </c>
      <c r="H27" s="1" t="e">
        <f>NA()</f>
        <v>#N/A</v>
      </c>
      <c r="I27" s="1" t="e">
        <f>NA()</f>
        <v>#N/A</v>
      </c>
      <c r="J27" s="1" t="e">
        <f>NA()</f>
        <v>#N/A</v>
      </c>
    </row>
    <row r="28" spans="1:10">
      <c r="A28" s="49"/>
      <c r="B28" s="36"/>
      <c r="C28" s="1">
        <v>4</v>
      </c>
      <c r="D28" s="1">
        <v>170</v>
      </c>
      <c r="E28" s="1">
        <v>174</v>
      </c>
      <c r="F28" s="1" t="e">
        <f>NA()</f>
        <v>#N/A</v>
      </c>
      <c r="G28" s="1" t="e">
        <f>NA()</f>
        <v>#N/A</v>
      </c>
      <c r="H28" s="1" t="e">
        <f>NA()</f>
        <v>#N/A</v>
      </c>
      <c r="I28" s="1" t="e">
        <f>NA()</f>
        <v>#N/A</v>
      </c>
      <c r="J28" s="1" t="e">
        <f>NA()</f>
        <v>#N/A</v>
      </c>
    </row>
    <row r="29" spans="1:10">
      <c r="A29" s="49"/>
      <c r="B29" s="36"/>
      <c r="C29" s="1">
        <v>5</v>
      </c>
      <c r="D29" s="1">
        <v>144</v>
      </c>
      <c r="E29" s="1">
        <v>136</v>
      </c>
      <c r="F29" s="1" t="e">
        <f>NA()</f>
        <v>#N/A</v>
      </c>
      <c r="G29" s="1" t="e">
        <f>NA()</f>
        <v>#N/A</v>
      </c>
      <c r="H29" s="1" t="e">
        <f>NA()</f>
        <v>#N/A</v>
      </c>
      <c r="I29" s="1" t="e">
        <f>NA()</f>
        <v>#N/A</v>
      </c>
      <c r="J29" s="1" t="e">
        <f>NA()</f>
        <v>#N/A</v>
      </c>
    </row>
    <row r="30" spans="1:10">
      <c r="A30" s="41">
        <v>7</v>
      </c>
      <c r="B30" s="36">
        <v>44115</v>
      </c>
      <c r="C30" s="1">
        <v>1</v>
      </c>
      <c r="D30" s="1" t="e">
        <f>NA()</f>
        <v>#N/A</v>
      </c>
      <c r="E30" s="1">
        <v>200</v>
      </c>
      <c r="F30" s="1" t="e">
        <f>NA()</f>
        <v>#N/A</v>
      </c>
      <c r="G30" s="1" t="e">
        <f>NA()</f>
        <v>#N/A</v>
      </c>
      <c r="H30" s="1" t="e">
        <f>NA()</f>
        <v>#N/A</v>
      </c>
      <c r="I30" s="1" t="e">
        <f>NA()</f>
        <v>#N/A</v>
      </c>
      <c r="J30" s="1" t="e">
        <f>NA()</f>
        <v>#N/A</v>
      </c>
    </row>
    <row r="31" spans="1:10">
      <c r="A31" s="41"/>
      <c r="B31" s="36"/>
      <c r="C31" s="1">
        <v>2</v>
      </c>
      <c r="D31" s="1" t="e">
        <f>NA()</f>
        <v>#N/A</v>
      </c>
      <c r="E31" s="1">
        <v>159</v>
      </c>
      <c r="F31" s="1" t="e">
        <f>NA()</f>
        <v>#N/A</v>
      </c>
      <c r="G31" s="1" t="e">
        <f>NA()</f>
        <v>#N/A</v>
      </c>
      <c r="H31" s="1" t="e">
        <f>NA()</f>
        <v>#N/A</v>
      </c>
      <c r="I31" s="1" t="e">
        <f>NA()</f>
        <v>#N/A</v>
      </c>
      <c r="J31" s="1" t="e">
        <f>NA()</f>
        <v>#N/A</v>
      </c>
    </row>
    <row r="32" spans="1:10">
      <c r="A32" s="41"/>
      <c r="B32" s="36"/>
      <c r="C32" s="1">
        <v>3</v>
      </c>
      <c r="D32" s="1" t="e">
        <f>NA()</f>
        <v>#N/A</v>
      </c>
      <c r="E32" s="1">
        <v>197</v>
      </c>
      <c r="F32" s="1" t="e">
        <f>NA()</f>
        <v>#N/A</v>
      </c>
      <c r="G32" s="1" t="e">
        <f>NA()</f>
        <v>#N/A</v>
      </c>
      <c r="H32" s="1" t="e">
        <f>NA()</f>
        <v>#N/A</v>
      </c>
      <c r="I32" s="1" t="e">
        <f>NA()</f>
        <v>#N/A</v>
      </c>
      <c r="J32" s="1" t="e">
        <f>NA()</f>
        <v>#N/A</v>
      </c>
    </row>
    <row r="33" spans="1:10">
      <c r="A33" s="41">
        <v>8</v>
      </c>
      <c r="B33" s="36">
        <v>44122</v>
      </c>
      <c r="C33" s="1">
        <v>1</v>
      </c>
      <c r="D33" s="1">
        <v>114</v>
      </c>
      <c r="E33" s="1">
        <v>99</v>
      </c>
      <c r="F33" s="1" t="e">
        <f>NA()</f>
        <v>#N/A</v>
      </c>
      <c r="G33" s="1" t="e">
        <f>NA()</f>
        <v>#N/A</v>
      </c>
      <c r="H33" s="1" t="e">
        <f>NA()</f>
        <v>#N/A</v>
      </c>
      <c r="I33" s="1" t="e">
        <f>NA()</f>
        <v>#N/A</v>
      </c>
      <c r="J33" s="1" t="e">
        <f>NA()</f>
        <v>#N/A</v>
      </c>
    </row>
    <row r="34" spans="1:10">
      <c r="A34" s="41"/>
      <c r="B34" s="36"/>
      <c r="C34" s="1">
        <v>2</v>
      </c>
      <c r="D34" s="1">
        <v>127</v>
      </c>
      <c r="E34" s="1">
        <v>111</v>
      </c>
      <c r="F34" s="1" t="e">
        <f>NA()</f>
        <v>#N/A</v>
      </c>
      <c r="G34" s="1" t="e">
        <f>NA()</f>
        <v>#N/A</v>
      </c>
      <c r="H34" s="1" t="e">
        <f>NA()</f>
        <v>#N/A</v>
      </c>
      <c r="I34" s="1" t="e">
        <f>NA()</f>
        <v>#N/A</v>
      </c>
      <c r="J34" s="1" t="e">
        <f>NA()</f>
        <v>#N/A</v>
      </c>
    </row>
    <row r="35" spans="1:10">
      <c r="A35" s="41"/>
      <c r="B35" s="36"/>
      <c r="C35" s="1">
        <v>3</v>
      </c>
      <c r="D35" s="1">
        <v>174</v>
      </c>
      <c r="E35" s="1">
        <v>116</v>
      </c>
      <c r="F35" s="1" t="e">
        <f>NA()</f>
        <v>#N/A</v>
      </c>
      <c r="G35" s="1" t="e">
        <f>NA()</f>
        <v>#N/A</v>
      </c>
      <c r="H35" s="1" t="e">
        <f>NA()</f>
        <v>#N/A</v>
      </c>
      <c r="I35" s="1" t="e">
        <f>NA()</f>
        <v>#N/A</v>
      </c>
      <c r="J35" s="1" t="e">
        <f>NA()</f>
        <v>#N/A</v>
      </c>
    </row>
    <row r="36" spans="1:10">
      <c r="A36" s="41"/>
      <c r="B36" s="36"/>
      <c r="C36" s="1">
        <v>4</v>
      </c>
      <c r="D36" s="1">
        <v>106</v>
      </c>
      <c r="E36" s="1">
        <v>169</v>
      </c>
      <c r="F36" s="1" t="e">
        <f>NA()</f>
        <v>#N/A</v>
      </c>
      <c r="G36" s="1" t="e">
        <f>NA()</f>
        <v>#N/A</v>
      </c>
      <c r="H36" s="1" t="e">
        <f>NA()</f>
        <v>#N/A</v>
      </c>
      <c r="I36" s="1" t="e">
        <f>NA()</f>
        <v>#N/A</v>
      </c>
      <c r="J36" s="1" t="e">
        <f>NA()</f>
        <v>#N/A</v>
      </c>
    </row>
    <row r="37" spans="1:10">
      <c r="A37" s="41"/>
      <c r="B37" s="36"/>
      <c r="C37" s="1">
        <v>5</v>
      </c>
      <c r="D37" s="1">
        <v>128</v>
      </c>
      <c r="E37" s="1">
        <v>154</v>
      </c>
      <c r="F37" s="1" t="e">
        <f>NA()</f>
        <v>#N/A</v>
      </c>
      <c r="G37" s="1" t="e">
        <f>NA()</f>
        <v>#N/A</v>
      </c>
      <c r="H37" s="1" t="e">
        <f>NA()</f>
        <v>#N/A</v>
      </c>
      <c r="I37" s="1" t="e">
        <f>NA()</f>
        <v>#N/A</v>
      </c>
      <c r="J37" s="1" t="e">
        <f>NA()</f>
        <v>#N/A</v>
      </c>
    </row>
    <row r="38" spans="1:10">
      <c r="A38" s="41"/>
      <c r="B38" s="36"/>
      <c r="C38" s="1">
        <v>6</v>
      </c>
      <c r="D38" s="1">
        <v>148</v>
      </c>
      <c r="E38" s="1">
        <v>178</v>
      </c>
      <c r="F38" s="1" t="e">
        <f>NA()</f>
        <v>#N/A</v>
      </c>
      <c r="G38" s="1" t="e">
        <f>NA()</f>
        <v>#N/A</v>
      </c>
      <c r="H38" s="1" t="e">
        <f>NA()</f>
        <v>#N/A</v>
      </c>
      <c r="I38" s="1" t="e">
        <f>NA()</f>
        <v>#N/A</v>
      </c>
      <c r="J38" s="1" t="e">
        <f>NA()</f>
        <v>#N/A</v>
      </c>
    </row>
    <row r="39" spans="1:10">
      <c r="A39" s="41">
        <v>9</v>
      </c>
      <c r="B39" s="36">
        <v>44125</v>
      </c>
      <c r="C39" s="1">
        <v>1</v>
      </c>
      <c r="D39" s="1">
        <v>127</v>
      </c>
      <c r="E39" s="1">
        <v>110</v>
      </c>
      <c r="F39" s="1" t="e">
        <f>NA()</f>
        <v>#N/A</v>
      </c>
      <c r="G39" s="1" t="e">
        <f>NA()</f>
        <v>#N/A</v>
      </c>
      <c r="H39" s="1" t="e">
        <f>NA()</f>
        <v>#N/A</v>
      </c>
      <c r="I39" s="1" t="e">
        <f>NA()</f>
        <v>#N/A</v>
      </c>
      <c r="J39" s="1" t="e">
        <f>NA()</f>
        <v>#N/A</v>
      </c>
    </row>
    <row r="40" spans="1:10">
      <c r="A40" s="41"/>
      <c r="B40" s="36"/>
      <c r="C40" s="1">
        <v>2</v>
      </c>
      <c r="D40" s="1">
        <v>134</v>
      </c>
      <c r="E40" s="1">
        <v>138</v>
      </c>
      <c r="F40" s="1" t="e">
        <f>NA()</f>
        <v>#N/A</v>
      </c>
      <c r="G40" s="1" t="e">
        <f>NA()</f>
        <v>#N/A</v>
      </c>
      <c r="H40" s="1" t="e">
        <f>NA()</f>
        <v>#N/A</v>
      </c>
      <c r="I40" s="1" t="e">
        <f>NA()</f>
        <v>#N/A</v>
      </c>
      <c r="J40" s="1" t="e">
        <f>NA()</f>
        <v>#N/A</v>
      </c>
    </row>
    <row r="41" spans="1:10">
      <c r="A41" s="41"/>
      <c r="B41" s="36"/>
      <c r="C41" s="1">
        <v>3</v>
      </c>
      <c r="D41" s="1">
        <v>130</v>
      </c>
      <c r="E41" s="1">
        <v>109</v>
      </c>
      <c r="F41" s="1" t="e">
        <f>NA()</f>
        <v>#N/A</v>
      </c>
      <c r="G41" s="1" t="e">
        <f>NA()</f>
        <v>#N/A</v>
      </c>
      <c r="H41" s="1" t="e">
        <f>NA()</f>
        <v>#N/A</v>
      </c>
      <c r="I41" s="1" t="e">
        <f>NA()</f>
        <v>#N/A</v>
      </c>
      <c r="J41" s="1" t="e">
        <f>NA()</f>
        <v>#N/A</v>
      </c>
    </row>
    <row r="42" spans="1:10">
      <c r="A42" s="41"/>
      <c r="B42" s="36"/>
      <c r="C42" s="1">
        <v>4</v>
      </c>
      <c r="D42" s="1">
        <v>120</v>
      </c>
      <c r="E42" s="1">
        <v>166</v>
      </c>
      <c r="F42" s="1" t="e">
        <f>NA()</f>
        <v>#N/A</v>
      </c>
      <c r="G42" s="1" t="e">
        <f>NA()</f>
        <v>#N/A</v>
      </c>
      <c r="H42" s="1" t="e">
        <f>NA()</f>
        <v>#N/A</v>
      </c>
      <c r="I42" s="1" t="e">
        <f>NA()</f>
        <v>#N/A</v>
      </c>
      <c r="J42" s="1" t="e">
        <f>NA()</f>
        <v>#N/A</v>
      </c>
    </row>
    <row r="43" spans="1:10">
      <c r="A43" s="41"/>
      <c r="B43" s="36"/>
      <c r="C43" s="1">
        <v>5</v>
      </c>
      <c r="D43" s="1">
        <v>88</v>
      </c>
      <c r="E43" s="1">
        <v>135</v>
      </c>
      <c r="F43" s="1" t="e">
        <f>NA()</f>
        <v>#N/A</v>
      </c>
      <c r="G43" s="1" t="e">
        <f>NA()</f>
        <v>#N/A</v>
      </c>
      <c r="H43" s="1" t="e">
        <f>NA()</f>
        <v>#N/A</v>
      </c>
      <c r="I43" s="1" t="e">
        <f>NA()</f>
        <v>#N/A</v>
      </c>
      <c r="J43" s="1" t="e">
        <f>NA()</f>
        <v>#N/A</v>
      </c>
    </row>
    <row r="44" spans="1:10">
      <c r="A44" s="41">
        <v>10</v>
      </c>
      <c r="B44" s="36">
        <v>44132</v>
      </c>
      <c r="C44" s="1">
        <v>1</v>
      </c>
      <c r="D44" s="1">
        <v>167</v>
      </c>
      <c r="E44" s="1">
        <v>87</v>
      </c>
      <c r="F44" s="1" t="e">
        <f>NA()</f>
        <v>#N/A</v>
      </c>
      <c r="G44" s="1" t="e">
        <f>NA()</f>
        <v>#N/A</v>
      </c>
      <c r="H44" s="1" t="e">
        <f>NA()</f>
        <v>#N/A</v>
      </c>
      <c r="I44" s="1" t="e">
        <f>NA()</f>
        <v>#N/A</v>
      </c>
      <c r="J44" s="1" t="e">
        <f>NA()</f>
        <v>#N/A</v>
      </c>
    </row>
    <row r="45" spans="1:10">
      <c r="A45" s="41"/>
      <c r="B45" s="36"/>
      <c r="C45" s="1">
        <v>2</v>
      </c>
      <c r="D45" s="1">
        <v>125</v>
      </c>
      <c r="E45" s="1">
        <v>162</v>
      </c>
      <c r="F45" s="1" t="e">
        <f>NA()</f>
        <v>#N/A</v>
      </c>
      <c r="G45" s="1" t="e">
        <f>NA()</f>
        <v>#N/A</v>
      </c>
      <c r="H45" s="1" t="e">
        <f>NA()</f>
        <v>#N/A</v>
      </c>
      <c r="I45" s="1" t="e">
        <f>NA()</f>
        <v>#N/A</v>
      </c>
      <c r="J45" s="1" t="e">
        <f>NA()</f>
        <v>#N/A</v>
      </c>
    </row>
    <row r="46" spans="1:10">
      <c r="A46" s="41"/>
      <c r="B46" s="36"/>
      <c r="C46" s="1">
        <v>3</v>
      </c>
      <c r="D46" s="1">
        <v>146</v>
      </c>
      <c r="E46" s="1">
        <v>111</v>
      </c>
      <c r="F46" s="1" t="e">
        <f>NA()</f>
        <v>#N/A</v>
      </c>
      <c r="G46" s="1" t="e">
        <f>NA()</f>
        <v>#N/A</v>
      </c>
      <c r="H46" s="1" t="e">
        <f>NA()</f>
        <v>#N/A</v>
      </c>
      <c r="I46" s="1" t="e">
        <f>NA()</f>
        <v>#N/A</v>
      </c>
      <c r="J46" s="1" t="e">
        <f>NA()</f>
        <v>#N/A</v>
      </c>
    </row>
    <row r="47" spans="1:10">
      <c r="A47" s="41"/>
      <c r="B47" s="36"/>
      <c r="C47" s="1">
        <v>4</v>
      </c>
      <c r="D47" s="1">
        <v>167</v>
      </c>
      <c r="E47" s="1">
        <v>167</v>
      </c>
      <c r="F47" s="1" t="e">
        <f>NA()</f>
        <v>#N/A</v>
      </c>
      <c r="G47" s="1" t="e">
        <f>NA()</f>
        <v>#N/A</v>
      </c>
      <c r="H47" s="1" t="e">
        <f>NA()</f>
        <v>#N/A</v>
      </c>
      <c r="I47" s="1" t="e">
        <f>NA()</f>
        <v>#N/A</v>
      </c>
      <c r="J47" s="1" t="e">
        <f>NA()</f>
        <v>#N/A</v>
      </c>
    </row>
    <row r="48" spans="1:10">
      <c r="A48" s="41"/>
      <c r="B48" s="36"/>
      <c r="C48" s="1">
        <v>5</v>
      </c>
      <c r="D48" s="1">
        <v>178</v>
      </c>
      <c r="E48" s="1">
        <v>165</v>
      </c>
      <c r="F48" s="1" t="e">
        <f>NA()</f>
        <v>#N/A</v>
      </c>
      <c r="G48" s="1" t="e">
        <f>NA()</f>
        <v>#N/A</v>
      </c>
      <c r="H48" s="1" t="e">
        <f>NA()</f>
        <v>#N/A</v>
      </c>
      <c r="I48" s="1" t="e">
        <f>NA()</f>
        <v>#N/A</v>
      </c>
      <c r="J48" s="1" t="e">
        <f>NA()</f>
        <v>#N/A</v>
      </c>
    </row>
    <row r="49" spans="1:10">
      <c r="A49" s="41"/>
      <c r="B49" s="36"/>
      <c r="C49" s="1">
        <v>6</v>
      </c>
      <c r="D49" s="1">
        <v>128</v>
      </c>
      <c r="E49" s="1">
        <v>157</v>
      </c>
      <c r="F49" s="1" t="e">
        <f>NA()</f>
        <v>#N/A</v>
      </c>
      <c r="G49" s="1" t="e">
        <f>NA()</f>
        <v>#N/A</v>
      </c>
      <c r="H49" s="1" t="e">
        <f>NA()</f>
        <v>#N/A</v>
      </c>
      <c r="I49" s="1" t="e">
        <f>NA()</f>
        <v>#N/A</v>
      </c>
      <c r="J49" s="1" t="e">
        <f>NA()</f>
        <v>#N/A</v>
      </c>
    </row>
    <row r="50" spans="1:10">
      <c r="A50" s="41">
        <v>11</v>
      </c>
      <c r="B50" s="36">
        <v>44140</v>
      </c>
      <c r="C50" s="1">
        <v>1</v>
      </c>
      <c r="D50" s="1">
        <v>154</v>
      </c>
      <c r="E50" s="1">
        <v>144</v>
      </c>
      <c r="F50" s="1" t="e">
        <f>NA()</f>
        <v>#N/A</v>
      </c>
      <c r="G50" s="1" t="e">
        <f>NA()</f>
        <v>#N/A</v>
      </c>
      <c r="H50" s="1" t="e">
        <f>NA()</f>
        <v>#N/A</v>
      </c>
      <c r="I50" s="1" t="e">
        <f>NA()</f>
        <v>#N/A</v>
      </c>
      <c r="J50" s="1" t="e">
        <f>NA()</f>
        <v>#N/A</v>
      </c>
    </row>
    <row r="51" spans="1:10">
      <c r="A51" s="41"/>
      <c r="B51" s="36"/>
      <c r="C51" s="1">
        <v>2</v>
      </c>
      <c r="D51" s="1">
        <v>155</v>
      </c>
      <c r="E51" s="1">
        <v>124</v>
      </c>
      <c r="F51" s="1" t="e">
        <f>NA()</f>
        <v>#N/A</v>
      </c>
      <c r="G51" s="1" t="e">
        <f>NA()</f>
        <v>#N/A</v>
      </c>
      <c r="H51" s="1" t="e">
        <f>NA()</f>
        <v>#N/A</v>
      </c>
      <c r="I51" s="1" t="e">
        <f>NA()</f>
        <v>#N/A</v>
      </c>
      <c r="J51" s="1" t="e">
        <f>NA()</f>
        <v>#N/A</v>
      </c>
    </row>
    <row r="52" spans="1:10">
      <c r="A52" s="41"/>
      <c r="B52" s="36"/>
      <c r="C52" s="1">
        <v>3</v>
      </c>
      <c r="D52" s="1">
        <v>139</v>
      </c>
      <c r="E52" s="1">
        <v>123</v>
      </c>
      <c r="F52" s="1" t="e">
        <f>NA()</f>
        <v>#N/A</v>
      </c>
      <c r="G52" s="1" t="e">
        <f>NA()</f>
        <v>#N/A</v>
      </c>
      <c r="H52" s="1" t="e">
        <f>NA()</f>
        <v>#N/A</v>
      </c>
      <c r="I52" s="1" t="e">
        <f>NA()</f>
        <v>#N/A</v>
      </c>
      <c r="J52" s="1" t="e">
        <f>NA()</f>
        <v>#N/A</v>
      </c>
    </row>
    <row r="53" spans="1:10">
      <c r="A53" s="41"/>
      <c r="B53" s="36"/>
      <c r="C53" s="1">
        <v>4</v>
      </c>
      <c r="D53" s="1">
        <v>186</v>
      </c>
      <c r="E53" s="1">
        <v>98</v>
      </c>
      <c r="F53" s="1" t="e">
        <f>NA()</f>
        <v>#N/A</v>
      </c>
      <c r="G53" s="1" t="e">
        <f>NA()</f>
        <v>#N/A</v>
      </c>
      <c r="H53" s="1" t="e">
        <f>NA()</f>
        <v>#N/A</v>
      </c>
      <c r="I53" s="1" t="e">
        <f>NA()</f>
        <v>#N/A</v>
      </c>
      <c r="J53" s="1" t="e">
        <f>NA()</f>
        <v>#N/A</v>
      </c>
    </row>
    <row r="54" spans="1:10">
      <c r="A54" s="41"/>
      <c r="B54" s="36"/>
      <c r="C54" s="1">
        <v>5</v>
      </c>
      <c r="D54" s="1">
        <v>161</v>
      </c>
      <c r="E54" s="1">
        <v>159</v>
      </c>
      <c r="F54" s="1" t="e">
        <f>NA()</f>
        <v>#N/A</v>
      </c>
      <c r="G54" s="1" t="e">
        <f>NA()</f>
        <v>#N/A</v>
      </c>
      <c r="H54" s="1" t="e">
        <f>NA()</f>
        <v>#N/A</v>
      </c>
      <c r="I54" s="1" t="e">
        <f>NA()</f>
        <v>#N/A</v>
      </c>
      <c r="J54" s="1" t="e">
        <f>NA()</f>
        <v>#N/A</v>
      </c>
    </row>
    <row r="55" spans="1:10">
      <c r="A55" s="41"/>
      <c r="B55" s="36"/>
      <c r="C55" s="1">
        <v>6</v>
      </c>
      <c r="D55" s="1">
        <v>137</v>
      </c>
      <c r="E55" s="1">
        <v>117</v>
      </c>
      <c r="F55" s="1" t="e">
        <f>NA()</f>
        <v>#N/A</v>
      </c>
      <c r="G55" s="1" t="e">
        <f>NA()</f>
        <v>#N/A</v>
      </c>
      <c r="H55" s="1" t="e">
        <f>NA()</f>
        <v>#N/A</v>
      </c>
      <c r="I55" s="1" t="e">
        <f>NA()</f>
        <v>#N/A</v>
      </c>
      <c r="J55" s="1" t="e">
        <f>NA()</f>
        <v>#N/A</v>
      </c>
    </row>
    <row r="56" spans="1:10">
      <c r="A56" s="41">
        <v>12</v>
      </c>
      <c r="B56" s="36">
        <v>44143</v>
      </c>
      <c r="C56" s="1">
        <v>1</v>
      </c>
      <c r="D56" s="1" t="e">
        <f>NA()</f>
        <v>#N/A</v>
      </c>
      <c r="E56" s="1">
        <v>163</v>
      </c>
      <c r="F56" s="1" t="e">
        <f>NA()</f>
        <v>#N/A</v>
      </c>
      <c r="G56" s="1" t="e">
        <f>NA()</f>
        <v>#N/A</v>
      </c>
      <c r="H56" s="1" t="e">
        <f>NA()</f>
        <v>#N/A</v>
      </c>
      <c r="I56" s="1" t="e">
        <f>NA()</f>
        <v>#N/A</v>
      </c>
      <c r="J56" s="1" t="e">
        <f>NA()</f>
        <v>#N/A</v>
      </c>
    </row>
    <row r="57" spans="1:10">
      <c r="A57" s="41"/>
      <c r="B57" s="36"/>
      <c r="C57" s="1">
        <v>2</v>
      </c>
      <c r="D57" s="1" t="e">
        <f>NA()</f>
        <v>#N/A</v>
      </c>
      <c r="E57" s="1">
        <v>141</v>
      </c>
      <c r="F57" s="1" t="e">
        <f>NA()</f>
        <v>#N/A</v>
      </c>
      <c r="G57" s="1" t="e">
        <f>NA()</f>
        <v>#N/A</v>
      </c>
      <c r="H57" s="1" t="e">
        <f>NA()</f>
        <v>#N/A</v>
      </c>
      <c r="I57" s="1" t="e">
        <f>NA()</f>
        <v>#N/A</v>
      </c>
      <c r="J57" s="1" t="e">
        <f>NA()</f>
        <v>#N/A</v>
      </c>
    </row>
    <row r="58" spans="1:10">
      <c r="A58" s="41"/>
      <c r="B58" s="36"/>
      <c r="C58" s="1">
        <v>3</v>
      </c>
      <c r="D58" s="1" t="e">
        <f>NA()</f>
        <v>#N/A</v>
      </c>
      <c r="E58" s="1">
        <v>149</v>
      </c>
      <c r="F58" s="1" t="e">
        <f>NA()</f>
        <v>#N/A</v>
      </c>
      <c r="G58" s="1" t="e">
        <f>NA()</f>
        <v>#N/A</v>
      </c>
      <c r="H58" s="1" t="e">
        <f>NA()</f>
        <v>#N/A</v>
      </c>
      <c r="I58" s="1" t="e">
        <f>NA()</f>
        <v>#N/A</v>
      </c>
      <c r="J58" s="1" t="e">
        <f>NA()</f>
        <v>#N/A</v>
      </c>
    </row>
    <row r="59" spans="1:10">
      <c r="A59" s="41"/>
      <c r="B59" s="36"/>
      <c r="C59" s="1">
        <v>4</v>
      </c>
      <c r="D59" s="1" t="e">
        <f>NA()</f>
        <v>#N/A</v>
      </c>
      <c r="E59" s="1">
        <v>149</v>
      </c>
      <c r="F59" s="1" t="e">
        <f>NA()</f>
        <v>#N/A</v>
      </c>
      <c r="G59" s="1" t="e">
        <f>NA()</f>
        <v>#N/A</v>
      </c>
      <c r="H59" s="1" t="e">
        <f>NA()</f>
        <v>#N/A</v>
      </c>
      <c r="I59" s="1" t="e">
        <f>NA()</f>
        <v>#N/A</v>
      </c>
      <c r="J59" s="1" t="e">
        <f>NA()</f>
        <v>#N/A</v>
      </c>
    </row>
    <row r="60" spans="1:10">
      <c r="A60" s="41"/>
      <c r="B60" s="36"/>
      <c r="C60" s="1">
        <v>5</v>
      </c>
      <c r="D60" s="1" t="e">
        <f>NA()</f>
        <v>#N/A</v>
      </c>
      <c r="E60" s="1">
        <v>176</v>
      </c>
      <c r="F60" s="1" t="e">
        <f>NA()</f>
        <v>#N/A</v>
      </c>
      <c r="G60" s="1" t="e">
        <f>NA()</f>
        <v>#N/A</v>
      </c>
      <c r="H60" s="1" t="e">
        <f>NA()</f>
        <v>#N/A</v>
      </c>
      <c r="I60" s="1" t="e">
        <f>NA()</f>
        <v>#N/A</v>
      </c>
      <c r="J60" s="1" t="e">
        <f>NA()</f>
        <v>#N/A</v>
      </c>
    </row>
    <row r="61" spans="1:10">
      <c r="A61" s="41">
        <v>13</v>
      </c>
      <c r="B61" s="36">
        <v>44147</v>
      </c>
      <c r="C61" s="1">
        <v>1</v>
      </c>
      <c r="D61" s="1">
        <v>126</v>
      </c>
      <c r="E61" s="1">
        <v>199</v>
      </c>
      <c r="F61" s="1" t="e">
        <f>NA()</f>
        <v>#N/A</v>
      </c>
      <c r="G61" s="1">
        <v>116</v>
      </c>
      <c r="H61" s="1" t="e">
        <f>NA()</f>
        <v>#N/A</v>
      </c>
      <c r="I61" s="1" t="e">
        <f>NA()</f>
        <v>#N/A</v>
      </c>
      <c r="J61" s="1" t="e">
        <f>NA()</f>
        <v>#N/A</v>
      </c>
    </row>
    <row r="62" spans="1:10">
      <c r="A62" s="41"/>
      <c r="B62" s="36"/>
      <c r="C62" s="1">
        <v>2</v>
      </c>
      <c r="D62" s="1">
        <v>120</v>
      </c>
      <c r="E62" s="1">
        <v>141</v>
      </c>
      <c r="F62" s="1" t="e">
        <f>NA()</f>
        <v>#N/A</v>
      </c>
      <c r="G62" s="1">
        <v>136</v>
      </c>
      <c r="H62" s="1" t="e">
        <f>NA()</f>
        <v>#N/A</v>
      </c>
      <c r="I62" s="1" t="e">
        <f>NA()</f>
        <v>#N/A</v>
      </c>
      <c r="J62" s="1" t="e">
        <f>NA()</f>
        <v>#N/A</v>
      </c>
    </row>
    <row r="63" spans="1:10">
      <c r="A63" s="41"/>
      <c r="B63" s="36"/>
      <c r="C63" s="1">
        <v>3</v>
      </c>
      <c r="D63" s="1">
        <v>138</v>
      </c>
      <c r="E63" s="1">
        <v>129</v>
      </c>
      <c r="F63" s="1" t="e">
        <f>NA()</f>
        <v>#N/A</v>
      </c>
      <c r="G63" s="1">
        <v>93</v>
      </c>
      <c r="H63" s="1" t="e">
        <f>NA()</f>
        <v>#N/A</v>
      </c>
      <c r="I63" s="1" t="e">
        <f>NA()</f>
        <v>#N/A</v>
      </c>
      <c r="J63" s="1" t="e">
        <f>NA()</f>
        <v>#N/A</v>
      </c>
    </row>
    <row r="64" spans="1:10">
      <c r="A64" s="41"/>
      <c r="B64" s="36"/>
      <c r="C64" s="1">
        <v>4</v>
      </c>
      <c r="D64" s="1">
        <v>146</v>
      </c>
      <c r="E64" s="1">
        <v>156</v>
      </c>
      <c r="F64" s="1" t="e">
        <f>NA()</f>
        <v>#N/A</v>
      </c>
      <c r="G64" s="1">
        <v>106</v>
      </c>
      <c r="H64" s="1" t="e">
        <f>NA()</f>
        <v>#N/A</v>
      </c>
      <c r="I64" s="1" t="e">
        <f>NA()</f>
        <v>#N/A</v>
      </c>
      <c r="J64" s="1" t="e">
        <f>NA()</f>
        <v>#N/A</v>
      </c>
    </row>
    <row r="65" spans="1:10">
      <c r="A65" s="41"/>
      <c r="B65" s="36"/>
      <c r="C65" s="1">
        <v>5</v>
      </c>
      <c r="D65" s="1">
        <v>106</v>
      </c>
      <c r="E65" s="1">
        <v>147</v>
      </c>
      <c r="F65" s="1" t="e">
        <f>NA()</f>
        <v>#N/A</v>
      </c>
      <c r="G65" s="1">
        <v>101</v>
      </c>
      <c r="H65" s="1" t="e">
        <f>NA()</f>
        <v>#N/A</v>
      </c>
      <c r="I65" s="1" t="e">
        <f>NA()</f>
        <v>#N/A</v>
      </c>
      <c r="J65" s="1" t="e">
        <f>NA()</f>
        <v>#N/A</v>
      </c>
    </row>
    <row r="66" spans="1:10">
      <c r="A66" s="41">
        <v>14</v>
      </c>
      <c r="B66" s="36">
        <v>44154</v>
      </c>
      <c r="C66" s="1">
        <v>1</v>
      </c>
      <c r="D66" s="1">
        <v>123</v>
      </c>
      <c r="E66" s="1">
        <v>148</v>
      </c>
      <c r="F66" s="1" t="e">
        <f>NA()</f>
        <v>#N/A</v>
      </c>
      <c r="G66" s="1">
        <v>87</v>
      </c>
      <c r="H66" s="1" t="e">
        <f>NA()</f>
        <v>#N/A</v>
      </c>
      <c r="I66" s="1" t="e">
        <f>NA()</f>
        <v>#N/A</v>
      </c>
      <c r="J66" s="1" t="e">
        <f>NA()</f>
        <v>#N/A</v>
      </c>
    </row>
    <row r="67" spans="1:10">
      <c r="A67" s="41"/>
      <c r="B67" s="36"/>
      <c r="C67" s="1">
        <v>2</v>
      </c>
      <c r="D67" s="1">
        <v>137</v>
      </c>
      <c r="E67" s="1">
        <v>153</v>
      </c>
      <c r="F67" s="1" t="e">
        <f>NA()</f>
        <v>#N/A</v>
      </c>
      <c r="G67" s="1">
        <v>106</v>
      </c>
      <c r="H67" s="1" t="e">
        <f>NA()</f>
        <v>#N/A</v>
      </c>
      <c r="I67" s="1" t="e">
        <f>NA()</f>
        <v>#N/A</v>
      </c>
      <c r="J67" s="1" t="e">
        <f>NA()</f>
        <v>#N/A</v>
      </c>
    </row>
    <row r="68" spans="1:10">
      <c r="A68" s="41"/>
      <c r="B68" s="36"/>
      <c r="C68" s="1">
        <v>3</v>
      </c>
      <c r="D68" s="1">
        <v>148</v>
      </c>
      <c r="E68" s="1">
        <v>109</v>
      </c>
      <c r="F68" s="1" t="e">
        <f>NA()</f>
        <v>#N/A</v>
      </c>
      <c r="G68" s="1">
        <v>96</v>
      </c>
      <c r="H68" s="1" t="e">
        <f>NA()</f>
        <v>#N/A</v>
      </c>
      <c r="I68" s="1" t="e">
        <f>NA()</f>
        <v>#N/A</v>
      </c>
      <c r="J68" s="1" t="e">
        <f>NA()</f>
        <v>#N/A</v>
      </c>
    </row>
    <row r="69" spans="1:10">
      <c r="A69" s="41"/>
      <c r="B69" s="36"/>
      <c r="C69" s="1">
        <v>4</v>
      </c>
      <c r="D69" s="1">
        <v>152</v>
      </c>
      <c r="E69" s="1">
        <v>197</v>
      </c>
      <c r="F69" s="1" t="e">
        <f>NA()</f>
        <v>#N/A</v>
      </c>
      <c r="G69" s="1">
        <v>131</v>
      </c>
      <c r="H69" s="1" t="e">
        <f>NA()</f>
        <v>#N/A</v>
      </c>
      <c r="I69" s="1" t="e">
        <f>NA()</f>
        <v>#N/A</v>
      </c>
      <c r="J69" s="1" t="e">
        <f>NA()</f>
        <v>#N/A</v>
      </c>
    </row>
    <row r="70" spans="1:10">
      <c r="A70" s="41"/>
      <c r="B70" s="36"/>
      <c r="C70" s="1">
        <v>5</v>
      </c>
      <c r="D70" s="1">
        <v>152</v>
      </c>
      <c r="E70" s="1">
        <v>163</v>
      </c>
      <c r="F70" s="1" t="e">
        <f>NA()</f>
        <v>#N/A</v>
      </c>
      <c r="G70" s="1">
        <v>101</v>
      </c>
      <c r="H70" s="1" t="e">
        <f>NA()</f>
        <v>#N/A</v>
      </c>
      <c r="I70" s="1" t="e">
        <f>NA()</f>
        <v>#N/A</v>
      </c>
      <c r="J70" s="1" t="e">
        <f>NA()</f>
        <v>#N/A</v>
      </c>
    </row>
    <row r="71" spans="1:10">
      <c r="A71" s="41">
        <v>15</v>
      </c>
      <c r="B71" s="36">
        <v>44154</v>
      </c>
      <c r="C71" s="1">
        <v>1</v>
      </c>
      <c r="D71" s="1">
        <v>125</v>
      </c>
      <c r="E71" s="1">
        <v>148</v>
      </c>
      <c r="F71" s="1" t="e">
        <f>NA()</f>
        <v>#N/A</v>
      </c>
      <c r="G71" s="1">
        <v>120</v>
      </c>
      <c r="H71" s="1" t="e">
        <f>NA()</f>
        <v>#N/A</v>
      </c>
      <c r="I71" s="1" t="e">
        <f>NA()</f>
        <v>#N/A</v>
      </c>
      <c r="J71" s="1" t="e">
        <f>NA()</f>
        <v>#N/A</v>
      </c>
    </row>
    <row r="72" spans="1:10">
      <c r="A72" s="41"/>
      <c r="B72" s="36"/>
      <c r="C72" s="1">
        <v>2</v>
      </c>
      <c r="D72" s="1">
        <v>138</v>
      </c>
      <c r="E72" s="1">
        <v>141</v>
      </c>
      <c r="F72" s="1" t="e">
        <f>NA()</f>
        <v>#N/A</v>
      </c>
      <c r="G72" s="1">
        <v>98</v>
      </c>
      <c r="H72" s="1" t="e">
        <f>NA()</f>
        <v>#N/A</v>
      </c>
      <c r="I72" s="1" t="e">
        <f>NA()</f>
        <v>#N/A</v>
      </c>
      <c r="J72" s="1" t="e">
        <f>NA()</f>
        <v>#N/A</v>
      </c>
    </row>
    <row r="73" spans="1:10">
      <c r="A73" s="41"/>
      <c r="B73" s="36"/>
      <c r="C73" s="1">
        <v>3</v>
      </c>
      <c r="D73" s="1">
        <v>124</v>
      </c>
      <c r="E73" s="1">
        <v>128</v>
      </c>
      <c r="F73" s="1" t="e">
        <f>NA()</f>
        <v>#N/A</v>
      </c>
      <c r="G73" s="1">
        <v>103</v>
      </c>
      <c r="H73" s="1" t="e">
        <f>NA()</f>
        <v>#N/A</v>
      </c>
      <c r="I73" s="1" t="e">
        <f>NA()</f>
        <v>#N/A</v>
      </c>
      <c r="J73" s="1" t="e">
        <f>NA()</f>
        <v>#N/A</v>
      </c>
    </row>
    <row r="74" spans="1:10">
      <c r="A74" s="41"/>
      <c r="B74" s="36"/>
      <c r="C74" s="1">
        <v>4</v>
      </c>
      <c r="D74" s="1">
        <v>124</v>
      </c>
      <c r="E74" s="1">
        <v>192</v>
      </c>
      <c r="F74" s="1" t="e">
        <f>NA()</f>
        <v>#N/A</v>
      </c>
      <c r="G74" s="1">
        <v>125</v>
      </c>
      <c r="H74" s="1" t="e">
        <f>NA()</f>
        <v>#N/A</v>
      </c>
      <c r="I74" s="1" t="e">
        <f>NA()</f>
        <v>#N/A</v>
      </c>
      <c r="J74" s="1" t="e">
        <f>NA()</f>
        <v>#N/A</v>
      </c>
    </row>
    <row r="75" spans="1:10">
      <c r="A75" s="41"/>
      <c r="B75" s="36"/>
      <c r="C75" s="1">
        <v>5</v>
      </c>
      <c r="D75" s="1">
        <v>142</v>
      </c>
      <c r="E75" s="1">
        <v>141</v>
      </c>
      <c r="F75" s="1" t="e">
        <f>NA()</f>
        <v>#N/A</v>
      </c>
      <c r="G75" s="1">
        <v>100</v>
      </c>
      <c r="H75" s="1" t="e">
        <f>NA()</f>
        <v>#N/A</v>
      </c>
      <c r="I75" s="1" t="e">
        <f>NA()</f>
        <v>#N/A</v>
      </c>
      <c r="J75" s="1" t="e">
        <f>NA()</f>
        <v>#N/A</v>
      </c>
    </row>
    <row r="76" spans="1:10">
      <c r="A76" s="41">
        <v>16</v>
      </c>
      <c r="B76" s="36">
        <v>44167</v>
      </c>
      <c r="C76" s="1">
        <v>1</v>
      </c>
      <c r="D76" s="1">
        <v>108</v>
      </c>
      <c r="E76" s="1">
        <v>121</v>
      </c>
      <c r="F76" s="1" t="e">
        <f>NA()</f>
        <v>#N/A</v>
      </c>
      <c r="G76" s="1" t="e">
        <f>NA()</f>
        <v>#N/A</v>
      </c>
      <c r="H76" s="1" t="e">
        <f>NA()</f>
        <v>#N/A</v>
      </c>
      <c r="I76" s="1" t="e">
        <f>NA()</f>
        <v>#N/A</v>
      </c>
      <c r="J76" s="1" t="e">
        <f>NA()</f>
        <v>#N/A</v>
      </c>
    </row>
    <row r="77" spans="1:10">
      <c r="A77" s="41"/>
      <c r="B77" s="36"/>
      <c r="C77" s="1">
        <v>2</v>
      </c>
      <c r="D77" s="1">
        <v>117</v>
      </c>
      <c r="E77" s="1">
        <v>102</v>
      </c>
      <c r="F77" s="1" t="e">
        <f>NA()</f>
        <v>#N/A</v>
      </c>
      <c r="G77" s="1" t="e">
        <f>NA()</f>
        <v>#N/A</v>
      </c>
      <c r="H77" s="1" t="e">
        <f>NA()</f>
        <v>#N/A</v>
      </c>
      <c r="I77" s="1" t="e">
        <f>NA()</f>
        <v>#N/A</v>
      </c>
      <c r="J77" s="1" t="e">
        <f>NA()</f>
        <v>#N/A</v>
      </c>
    </row>
    <row r="78" spans="1:10">
      <c r="A78" s="41"/>
      <c r="B78" s="36"/>
      <c r="C78" s="1">
        <v>3</v>
      </c>
      <c r="D78" s="1">
        <v>140</v>
      </c>
      <c r="E78" s="1">
        <v>119</v>
      </c>
      <c r="F78" s="1" t="e">
        <f>NA()</f>
        <v>#N/A</v>
      </c>
      <c r="G78" s="1" t="e">
        <f>NA()</f>
        <v>#N/A</v>
      </c>
      <c r="H78" s="1" t="e">
        <f>NA()</f>
        <v>#N/A</v>
      </c>
      <c r="I78" s="1" t="e">
        <f>NA()</f>
        <v>#N/A</v>
      </c>
      <c r="J78" s="1" t="e">
        <f>NA()</f>
        <v>#N/A</v>
      </c>
    </row>
    <row r="79" spans="1:10">
      <c r="A79" s="41"/>
      <c r="B79" s="36"/>
      <c r="C79" s="1">
        <v>4</v>
      </c>
      <c r="D79" s="1">
        <v>147</v>
      </c>
      <c r="E79" s="1">
        <v>95</v>
      </c>
      <c r="F79" s="1" t="e">
        <f>NA()</f>
        <v>#N/A</v>
      </c>
      <c r="G79" s="1" t="e">
        <f>NA()</f>
        <v>#N/A</v>
      </c>
      <c r="H79" s="1" t="e">
        <f>NA()</f>
        <v>#N/A</v>
      </c>
      <c r="I79" s="1" t="e">
        <f>NA()</f>
        <v>#N/A</v>
      </c>
      <c r="J79" s="1" t="e">
        <f>NA()</f>
        <v>#N/A</v>
      </c>
    </row>
    <row r="80" spans="1:10">
      <c r="A80" s="41"/>
      <c r="B80" s="36"/>
      <c r="C80" s="1">
        <v>5</v>
      </c>
      <c r="D80" s="1">
        <v>132</v>
      </c>
      <c r="E80" s="1">
        <v>145</v>
      </c>
      <c r="F80" s="1" t="e">
        <f>NA()</f>
        <v>#N/A</v>
      </c>
      <c r="G80" s="1" t="e">
        <f>NA()</f>
        <v>#N/A</v>
      </c>
      <c r="H80" s="1" t="e">
        <f>NA()</f>
        <v>#N/A</v>
      </c>
      <c r="I80" s="1" t="e">
        <f>NA()</f>
        <v>#N/A</v>
      </c>
      <c r="J80" s="1" t="e">
        <f>NA()</f>
        <v>#N/A</v>
      </c>
    </row>
    <row r="81" spans="1:10">
      <c r="A81" s="41"/>
      <c r="B81" s="36"/>
      <c r="C81" s="1">
        <v>6</v>
      </c>
      <c r="D81" s="1">
        <v>146</v>
      </c>
      <c r="E81" s="1">
        <v>141</v>
      </c>
      <c r="F81" s="1" t="e">
        <f>NA()</f>
        <v>#N/A</v>
      </c>
      <c r="G81" s="1" t="e">
        <f>NA()</f>
        <v>#N/A</v>
      </c>
      <c r="H81" s="1" t="e">
        <f>NA()</f>
        <v>#N/A</v>
      </c>
      <c r="I81" s="1" t="e">
        <f>NA()</f>
        <v>#N/A</v>
      </c>
      <c r="J81" s="1" t="e">
        <f>NA()</f>
        <v>#N/A</v>
      </c>
    </row>
    <row r="82" spans="1:10">
      <c r="A82" s="41">
        <v>17</v>
      </c>
      <c r="B82" s="36">
        <v>44168</v>
      </c>
      <c r="C82" s="1">
        <v>1</v>
      </c>
      <c r="D82" s="1">
        <v>143</v>
      </c>
      <c r="E82" s="1">
        <v>135</v>
      </c>
      <c r="F82" s="1" t="e">
        <f>NA()</f>
        <v>#N/A</v>
      </c>
      <c r="G82" s="1" t="e">
        <f>NA()</f>
        <v>#N/A</v>
      </c>
      <c r="H82" s="1" t="e">
        <f>NA()</f>
        <v>#N/A</v>
      </c>
      <c r="I82" s="1" t="e">
        <f>NA()</f>
        <v>#N/A</v>
      </c>
      <c r="J82" s="1" t="e">
        <f>NA()</f>
        <v>#N/A</v>
      </c>
    </row>
    <row r="83" spans="1:10">
      <c r="A83" s="41"/>
      <c r="B83" s="36"/>
      <c r="C83" s="1">
        <v>2</v>
      </c>
      <c r="D83" s="1">
        <v>119</v>
      </c>
      <c r="E83" s="1">
        <v>91</v>
      </c>
      <c r="F83" s="1" t="e">
        <f>NA()</f>
        <v>#N/A</v>
      </c>
      <c r="G83" s="1" t="e">
        <f>NA()</f>
        <v>#N/A</v>
      </c>
      <c r="H83" s="1" t="e">
        <f>NA()</f>
        <v>#N/A</v>
      </c>
      <c r="I83" s="1" t="e">
        <f>NA()</f>
        <v>#N/A</v>
      </c>
      <c r="J83" s="1" t="e">
        <f>NA()</f>
        <v>#N/A</v>
      </c>
    </row>
    <row r="84" spans="1:10">
      <c r="A84" s="41"/>
      <c r="B84" s="36"/>
      <c r="C84" s="1">
        <v>3</v>
      </c>
      <c r="D84" s="1">
        <v>170</v>
      </c>
      <c r="E84" s="1">
        <v>146</v>
      </c>
      <c r="F84" s="1" t="e">
        <f>NA()</f>
        <v>#N/A</v>
      </c>
      <c r="G84" s="1" t="e">
        <f>NA()</f>
        <v>#N/A</v>
      </c>
      <c r="H84" s="1" t="e">
        <f>NA()</f>
        <v>#N/A</v>
      </c>
      <c r="I84" s="1" t="e">
        <f>NA()</f>
        <v>#N/A</v>
      </c>
      <c r="J84" s="1" t="e">
        <f>NA()</f>
        <v>#N/A</v>
      </c>
    </row>
    <row r="85" spans="1:10">
      <c r="A85" s="41"/>
      <c r="B85" s="36"/>
      <c r="C85" s="1">
        <v>4</v>
      </c>
      <c r="D85" s="1">
        <v>139</v>
      </c>
      <c r="E85" s="1">
        <v>188</v>
      </c>
      <c r="F85" s="1" t="e">
        <f>NA()</f>
        <v>#N/A</v>
      </c>
      <c r="G85" s="1" t="e">
        <f>NA()</f>
        <v>#N/A</v>
      </c>
      <c r="H85" s="1" t="e">
        <f>NA()</f>
        <v>#N/A</v>
      </c>
      <c r="I85" s="1" t="e">
        <f>NA()</f>
        <v>#N/A</v>
      </c>
      <c r="J85" s="1" t="e">
        <f>NA()</f>
        <v>#N/A</v>
      </c>
    </row>
    <row r="86" spans="1:10">
      <c r="A86" s="41"/>
      <c r="B86" s="36"/>
      <c r="C86" s="1">
        <v>5</v>
      </c>
      <c r="D86" s="1">
        <v>136</v>
      </c>
      <c r="E86" s="1">
        <v>172</v>
      </c>
      <c r="F86" s="1" t="e">
        <f>NA()</f>
        <v>#N/A</v>
      </c>
      <c r="G86" s="1" t="e">
        <f>NA()</f>
        <v>#N/A</v>
      </c>
      <c r="H86" s="1" t="e">
        <f>NA()</f>
        <v>#N/A</v>
      </c>
      <c r="I86" s="1" t="e">
        <f>NA()</f>
        <v>#N/A</v>
      </c>
      <c r="J86" s="1" t="e">
        <f>NA()</f>
        <v>#N/A</v>
      </c>
    </row>
    <row r="87" spans="1:10">
      <c r="A87" s="41">
        <v>18</v>
      </c>
      <c r="B87" s="36">
        <v>44175</v>
      </c>
      <c r="C87" s="1">
        <v>1</v>
      </c>
      <c r="D87" s="1">
        <v>131</v>
      </c>
      <c r="E87" s="1">
        <v>95</v>
      </c>
      <c r="F87" s="1" t="e">
        <f>NA()</f>
        <v>#N/A</v>
      </c>
      <c r="G87" s="1" t="e">
        <f>NA()</f>
        <v>#N/A</v>
      </c>
      <c r="H87" s="1" t="e">
        <f>NA()</f>
        <v>#N/A</v>
      </c>
      <c r="I87" s="1" t="e">
        <f>NA()</f>
        <v>#N/A</v>
      </c>
      <c r="J87" s="1" t="e">
        <f>NA()</f>
        <v>#N/A</v>
      </c>
    </row>
    <row r="88" spans="1:10">
      <c r="A88" s="41"/>
      <c r="B88" s="36"/>
      <c r="C88" s="1">
        <v>2</v>
      </c>
      <c r="D88" s="1">
        <v>109</v>
      </c>
      <c r="E88" s="1">
        <v>95</v>
      </c>
      <c r="F88" s="1" t="e">
        <f>NA()</f>
        <v>#N/A</v>
      </c>
      <c r="G88" s="1" t="e">
        <f>NA()</f>
        <v>#N/A</v>
      </c>
      <c r="H88" s="1" t="e">
        <f>NA()</f>
        <v>#N/A</v>
      </c>
      <c r="I88" s="1" t="e">
        <f>NA()</f>
        <v>#N/A</v>
      </c>
      <c r="J88" s="1" t="e">
        <f>NA()</f>
        <v>#N/A</v>
      </c>
    </row>
    <row r="89" spans="1:10">
      <c r="A89" s="41"/>
      <c r="B89" s="36"/>
      <c r="C89" s="1">
        <v>3</v>
      </c>
      <c r="D89" s="1">
        <v>125</v>
      </c>
      <c r="E89" s="1">
        <v>99</v>
      </c>
      <c r="F89" s="1" t="e">
        <f>NA()</f>
        <v>#N/A</v>
      </c>
      <c r="G89" s="1" t="e">
        <f>NA()</f>
        <v>#N/A</v>
      </c>
      <c r="H89" s="1" t="e">
        <f>NA()</f>
        <v>#N/A</v>
      </c>
      <c r="I89" s="1" t="e">
        <f>NA()</f>
        <v>#N/A</v>
      </c>
      <c r="J89" s="1" t="e">
        <f>NA()</f>
        <v>#N/A</v>
      </c>
    </row>
    <row r="90" spans="1:10">
      <c r="A90" s="41"/>
      <c r="B90" s="36"/>
      <c r="C90" s="1">
        <v>4</v>
      </c>
      <c r="D90" s="1">
        <v>109</v>
      </c>
      <c r="E90" s="1">
        <v>125</v>
      </c>
      <c r="F90" s="1" t="e">
        <f>NA()</f>
        <v>#N/A</v>
      </c>
      <c r="G90" s="1" t="e">
        <f>NA()</f>
        <v>#N/A</v>
      </c>
      <c r="H90" s="1" t="e">
        <f>NA()</f>
        <v>#N/A</v>
      </c>
      <c r="I90" s="1" t="e">
        <f>NA()</f>
        <v>#N/A</v>
      </c>
      <c r="J90" s="1" t="e">
        <f>NA()</f>
        <v>#N/A</v>
      </c>
    </row>
    <row r="91" spans="1:10">
      <c r="A91" s="41"/>
      <c r="B91" s="36"/>
      <c r="C91" s="1">
        <v>5</v>
      </c>
      <c r="D91" s="1">
        <v>142</v>
      </c>
      <c r="E91" s="1">
        <v>187</v>
      </c>
      <c r="F91" s="1" t="e">
        <f>NA()</f>
        <v>#N/A</v>
      </c>
      <c r="G91" s="1" t="e">
        <f>NA()</f>
        <v>#N/A</v>
      </c>
      <c r="H91" s="1" t="e">
        <f>NA()</f>
        <v>#N/A</v>
      </c>
      <c r="I91" s="1" t="e">
        <f>NA()</f>
        <v>#N/A</v>
      </c>
      <c r="J91" s="1" t="e">
        <f>NA()</f>
        <v>#N/A</v>
      </c>
    </row>
    <row r="92" spans="1:10">
      <c r="A92" s="42">
        <v>19</v>
      </c>
      <c r="B92" s="36">
        <v>44180</v>
      </c>
      <c r="C92" s="1">
        <v>1</v>
      </c>
      <c r="D92" s="1">
        <v>73</v>
      </c>
      <c r="E92" s="1">
        <v>90</v>
      </c>
      <c r="F92" s="1" t="e">
        <f>NA()</f>
        <v>#N/A</v>
      </c>
      <c r="G92" s="1" t="e">
        <f>NA()</f>
        <v>#N/A</v>
      </c>
      <c r="H92" s="1" t="e">
        <f>NA()</f>
        <v>#N/A</v>
      </c>
      <c r="I92" s="1" t="e">
        <f>NA()</f>
        <v>#N/A</v>
      </c>
      <c r="J92" s="1" t="e">
        <f>NA()</f>
        <v>#N/A</v>
      </c>
    </row>
    <row r="93" spans="1:10">
      <c r="A93" s="42"/>
      <c r="B93" s="36"/>
      <c r="C93" s="1">
        <v>2</v>
      </c>
      <c r="D93" s="1">
        <v>102</v>
      </c>
      <c r="E93" s="1">
        <v>72</v>
      </c>
      <c r="F93" s="1" t="e">
        <f>NA()</f>
        <v>#N/A</v>
      </c>
      <c r="G93" s="1" t="e">
        <f>NA()</f>
        <v>#N/A</v>
      </c>
      <c r="H93" s="1" t="e">
        <f>NA()</f>
        <v>#N/A</v>
      </c>
      <c r="I93" s="1" t="e">
        <f>NA()</f>
        <v>#N/A</v>
      </c>
      <c r="J93" s="1" t="e">
        <f>NA()</f>
        <v>#N/A</v>
      </c>
    </row>
    <row r="94" spans="1:10">
      <c r="A94" s="42"/>
      <c r="B94" s="36"/>
      <c r="C94" s="1">
        <v>3</v>
      </c>
      <c r="D94" s="1">
        <v>194</v>
      </c>
      <c r="E94" s="1">
        <v>136</v>
      </c>
      <c r="F94" s="1" t="e">
        <f>NA()</f>
        <v>#N/A</v>
      </c>
      <c r="G94" s="1" t="e">
        <f>NA()</f>
        <v>#N/A</v>
      </c>
      <c r="H94" s="1" t="e">
        <f>NA()</f>
        <v>#N/A</v>
      </c>
      <c r="I94" s="1" t="e">
        <f>NA()</f>
        <v>#N/A</v>
      </c>
      <c r="J94" s="1" t="e">
        <f>NA()</f>
        <v>#N/A</v>
      </c>
    </row>
    <row r="95" spans="1:10">
      <c r="A95" s="42"/>
      <c r="B95" s="36"/>
      <c r="C95" s="1">
        <v>4</v>
      </c>
      <c r="D95" s="1">
        <v>108</v>
      </c>
      <c r="E95" s="1">
        <v>103</v>
      </c>
      <c r="F95" s="1" t="e">
        <f>NA()</f>
        <v>#N/A</v>
      </c>
      <c r="G95" s="1" t="e">
        <f>NA()</f>
        <v>#N/A</v>
      </c>
      <c r="H95" s="1" t="e">
        <f>NA()</f>
        <v>#N/A</v>
      </c>
      <c r="I95" s="1" t="e">
        <f>NA()</f>
        <v>#N/A</v>
      </c>
      <c r="J95" s="1" t="e">
        <f>NA()</f>
        <v>#N/A</v>
      </c>
    </row>
    <row r="96" spans="1:10">
      <c r="A96" s="42"/>
      <c r="B96" s="36"/>
      <c r="C96" s="1">
        <v>5</v>
      </c>
      <c r="D96" s="1">
        <v>111</v>
      </c>
      <c r="E96" s="1">
        <v>101</v>
      </c>
      <c r="F96" s="1" t="e">
        <f>NA()</f>
        <v>#N/A</v>
      </c>
      <c r="G96" s="1" t="e">
        <f>NA()</f>
        <v>#N/A</v>
      </c>
      <c r="H96" s="1" t="e">
        <f>NA()</f>
        <v>#N/A</v>
      </c>
      <c r="I96" s="1" t="e">
        <f>NA()</f>
        <v>#N/A</v>
      </c>
      <c r="J96" s="1" t="e">
        <f>NA()</f>
        <v>#N/A</v>
      </c>
    </row>
    <row r="97" spans="1:10">
      <c r="A97" s="42"/>
      <c r="B97" s="36"/>
      <c r="C97" s="1">
        <v>6</v>
      </c>
      <c r="D97" s="1">
        <v>105</v>
      </c>
      <c r="E97" s="1">
        <v>124</v>
      </c>
      <c r="F97" s="1" t="e">
        <f>NA()</f>
        <v>#N/A</v>
      </c>
      <c r="G97" s="1" t="e">
        <f>NA()</f>
        <v>#N/A</v>
      </c>
      <c r="H97" s="1" t="e">
        <f>NA()</f>
        <v>#N/A</v>
      </c>
      <c r="I97" s="1" t="e">
        <f>NA()</f>
        <v>#N/A</v>
      </c>
      <c r="J97" s="1" t="e">
        <f>NA()</f>
        <v>#N/A</v>
      </c>
    </row>
    <row r="98" spans="1:10">
      <c r="A98" s="41">
        <v>20</v>
      </c>
      <c r="B98" s="43">
        <v>44189</v>
      </c>
      <c r="C98" s="1">
        <v>1</v>
      </c>
      <c r="D98" s="1">
        <v>121</v>
      </c>
      <c r="E98" s="1">
        <v>122</v>
      </c>
      <c r="F98" s="1" t="e">
        <f>NA()</f>
        <v>#N/A</v>
      </c>
      <c r="G98" s="1">
        <v>116</v>
      </c>
      <c r="H98" s="1" t="e">
        <f>NA()</f>
        <v>#N/A</v>
      </c>
      <c r="I98" s="1" t="e">
        <f>NA()</f>
        <v>#N/A</v>
      </c>
      <c r="J98" s="1" t="e">
        <f>NA()</f>
        <v>#N/A</v>
      </c>
    </row>
    <row r="99" spans="1:10">
      <c r="A99" s="41"/>
      <c r="B99" s="44"/>
      <c r="C99" s="1">
        <v>2</v>
      </c>
      <c r="D99" s="1">
        <v>111</v>
      </c>
      <c r="E99" s="1">
        <v>121</v>
      </c>
      <c r="F99" s="1" t="e">
        <f>NA()</f>
        <v>#N/A</v>
      </c>
      <c r="G99" s="1">
        <v>82</v>
      </c>
      <c r="H99" s="1" t="e">
        <f>NA()</f>
        <v>#N/A</v>
      </c>
      <c r="I99" s="1" t="e">
        <f>NA()</f>
        <v>#N/A</v>
      </c>
      <c r="J99" s="1" t="e">
        <f>NA()</f>
        <v>#N/A</v>
      </c>
    </row>
    <row r="100" spans="1:10">
      <c r="A100" s="41"/>
      <c r="B100" s="44"/>
      <c r="C100" s="1">
        <v>3</v>
      </c>
      <c r="D100" s="1">
        <v>100</v>
      </c>
      <c r="E100" s="1">
        <v>136</v>
      </c>
      <c r="F100" s="1" t="e">
        <f>NA()</f>
        <v>#N/A</v>
      </c>
      <c r="G100" s="1">
        <v>144</v>
      </c>
      <c r="H100" s="1" t="e">
        <f>NA()</f>
        <v>#N/A</v>
      </c>
      <c r="I100" s="1" t="e">
        <f>NA()</f>
        <v>#N/A</v>
      </c>
      <c r="J100" s="1" t="e">
        <f>NA()</f>
        <v>#N/A</v>
      </c>
    </row>
    <row r="101" spans="1:10">
      <c r="A101" s="41">
        <v>21</v>
      </c>
      <c r="B101" s="36">
        <v>44195</v>
      </c>
      <c r="C101" s="1">
        <v>1</v>
      </c>
      <c r="D101" s="1">
        <v>161</v>
      </c>
      <c r="E101" s="1">
        <v>101</v>
      </c>
      <c r="F101" s="1" t="e">
        <f>NA()</f>
        <v>#N/A</v>
      </c>
      <c r="G101" s="1">
        <v>109</v>
      </c>
      <c r="H101" s="1" t="e">
        <f>NA()</f>
        <v>#N/A</v>
      </c>
      <c r="I101" s="1" t="e">
        <f>NA()</f>
        <v>#N/A</v>
      </c>
      <c r="J101" s="1" t="e">
        <f>NA()</f>
        <v>#N/A</v>
      </c>
    </row>
    <row r="102" spans="1:10">
      <c r="A102" s="41"/>
      <c r="B102" s="36"/>
      <c r="C102" s="1">
        <v>2</v>
      </c>
      <c r="D102" s="1">
        <v>132</v>
      </c>
      <c r="E102" s="1">
        <v>140</v>
      </c>
      <c r="F102" s="1" t="e">
        <f>NA()</f>
        <v>#N/A</v>
      </c>
      <c r="G102" s="1">
        <v>101</v>
      </c>
      <c r="H102" s="1" t="e">
        <f>NA()</f>
        <v>#N/A</v>
      </c>
      <c r="I102" s="1" t="e">
        <f>NA()</f>
        <v>#N/A</v>
      </c>
      <c r="J102" s="1" t="e">
        <f>NA()</f>
        <v>#N/A</v>
      </c>
    </row>
    <row r="103" spans="1:10">
      <c r="A103" s="41"/>
      <c r="B103" s="36"/>
      <c r="C103" s="1">
        <v>3</v>
      </c>
      <c r="D103" s="1">
        <v>99</v>
      </c>
      <c r="E103" s="1">
        <v>113</v>
      </c>
      <c r="F103" s="1" t="e">
        <f>NA()</f>
        <v>#N/A</v>
      </c>
      <c r="G103" s="1">
        <v>114</v>
      </c>
      <c r="H103" s="1" t="e">
        <f>NA()</f>
        <v>#N/A</v>
      </c>
      <c r="I103" s="1" t="e">
        <f>NA()</f>
        <v>#N/A</v>
      </c>
      <c r="J103" s="1" t="e">
        <f>NA()</f>
        <v>#N/A</v>
      </c>
    </row>
    <row r="104" spans="1:10">
      <c r="A104" s="41"/>
      <c r="B104" s="36"/>
      <c r="C104" s="1">
        <v>4</v>
      </c>
      <c r="D104" s="1">
        <v>95</v>
      </c>
      <c r="E104" s="1">
        <v>109</v>
      </c>
      <c r="F104" s="1" t="e">
        <f>NA()</f>
        <v>#N/A</v>
      </c>
      <c r="G104" s="1">
        <v>116</v>
      </c>
      <c r="H104" s="1" t="e">
        <f>NA()</f>
        <v>#N/A</v>
      </c>
      <c r="I104" s="1" t="e">
        <f>NA()</f>
        <v>#N/A</v>
      </c>
      <c r="J104" s="1" t="e">
        <f>NA()</f>
        <v>#N/A</v>
      </c>
    </row>
    <row r="105" spans="1:10">
      <c r="A105" s="41"/>
      <c r="B105" s="36"/>
      <c r="C105" s="1">
        <v>5</v>
      </c>
      <c r="D105" s="1">
        <v>107</v>
      </c>
      <c r="E105" s="1">
        <v>121</v>
      </c>
      <c r="F105" s="1" t="e">
        <f>NA()</f>
        <v>#N/A</v>
      </c>
      <c r="G105" s="1">
        <v>136</v>
      </c>
      <c r="H105" s="1" t="e">
        <f>NA()</f>
        <v>#N/A</v>
      </c>
      <c r="I105" s="1" t="e">
        <f>NA()</f>
        <v>#N/A</v>
      </c>
      <c r="J105" s="1" t="e">
        <f>NA()</f>
        <v>#N/A</v>
      </c>
    </row>
    <row r="106" spans="1:10">
      <c r="A106" s="41">
        <v>22</v>
      </c>
      <c r="B106" s="36">
        <v>44196</v>
      </c>
      <c r="C106" s="1">
        <v>1</v>
      </c>
      <c r="D106" s="1" t="e">
        <f>NA()</f>
        <v>#N/A</v>
      </c>
      <c r="E106" s="1">
        <v>186</v>
      </c>
      <c r="F106" s="1" t="e">
        <f>NA()</f>
        <v>#N/A</v>
      </c>
      <c r="G106" s="1" t="e">
        <f>NA()</f>
        <v>#N/A</v>
      </c>
      <c r="H106" s="1" t="e">
        <f>NA()</f>
        <v>#N/A</v>
      </c>
      <c r="I106" s="1" t="e">
        <f>NA()</f>
        <v>#N/A</v>
      </c>
      <c r="J106" s="1" t="e">
        <f>NA()</f>
        <v>#N/A</v>
      </c>
    </row>
    <row r="107" spans="1:10">
      <c r="A107" s="41"/>
      <c r="B107" s="36"/>
      <c r="C107" s="1">
        <v>2</v>
      </c>
      <c r="D107" s="1" t="e">
        <f>NA()</f>
        <v>#N/A</v>
      </c>
      <c r="E107" s="1">
        <v>153</v>
      </c>
      <c r="F107" s="1" t="e">
        <f>NA()</f>
        <v>#N/A</v>
      </c>
      <c r="G107" s="1" t="e">
        <f>NA()</f>
        <v>#N/A</v>
      </c>
      <c r="H107" s="1" t="e">
        <f>NA()</f>
        <v>#N/A</v>
      </c>
      <c r="I107" s="1" t="e">
        <f>NA()</f>
        <v>#N/A</v>
      </c>
      <c r="J107" s="1" t="e">
        <f>NA()</f>
        <v>#N/A</v>
      </c>
    </row>
    <row r="108" spans="1:10">
      <c r="A108" s="41"/>
      <c r="B108" s="36"/>
      <c r="C108" s="1">
        <v>3</v>
      </c>
      <c r="D108" s="1" t="e">
        <f>NA()</f>
        <v>#N/A</v>
      </c>
      <c r="E108" s="1">
        <v>105</v>
      </c>
      <c r="F108" s="1" t="e">
        <f>NA()</f>
        <v>#N/A</v>
      </c>
      <c r="G108" s="1" t="e">
        <f>NA()</f>
        <v>#N/A</v>
      </c>
      <c r="H108" s="1" t="e">
        <f>NA()</f>
        <v>#N/A</v>
      </c>
      <c r="I108" s="1" t="e">
        <f>NA()</f>
        <v>#N/A</v>
      </c>
      <c r="J108" s="1" t="e">
        <f>NA()</f>
        <v>#N/A</v>
      </c>
    </row>
    <row r="109" spans="1:10">
      <c r="A109" s="41"/>
      <c r="B109" s="36"/>
      <c r="C109" s="1">
        <v>4</v>
      </c>
      <c r="D109" s="1" t="e">
        <f>NA()</f>
        <v>#N/A</v>
      </c>
      <c r="E109" s="1">
        <v>114</v>
      </c>
      <c r="F109" s="1" t="e">
        <f>NA()</f>
        <v>#N/A</v>
      </c>
      <c r="G109" s="1" t="e">
        <f>NA()</f>
        <v>#N/A</v>
      </c>
      <c r="H109" s="1" t="e">
        <f>NA()</f>
        <v>#N/A</v>
      </c>
      <c r="I109" s="1" t="e">
        <f>NA()</f>
        <v>#N/A</v>
      </c>
      <c r="J109" s="1" t="e">
        <f>NA()</f>
        <v>#N/A</v>
      </c>
    </row>
    <row r="110" spans="1:10">
      <c r="A110" s="41"/>
      <c r="B110" s="36"/>
      <c r="C110" s="1">
        <v>5</v>
      </c>
      <c r="D110" s="1" t="e">
        <f>NA()</f>
        <v>#N/A</v>
      </c>
      <c r="E110" s="1">
        <v>127</v>
      </c>
      <c r="F110" s="1" t="e">
        <f>NA()</f>
        <v>#N/A</v>
      </c>
      <c r="G110" s="1" t="e">
        <f>NA()</f>
        <v>#N/A</v>
      </c>
      <c r="H110" s="1" t="e">
        <f>NA()</f>
        <v>#N/A</v>
      </c>
      <c r="I110" s="1" t="e">
        <f>NA()</f>
        <v>#N/A</v>
      </c>
      <c r="J110" s="1" t="e">
        <f>NA()</f>
        <v>#N/A</v>
      </c>
    </row>
    <row r="111" spans="1:10">
      <c r="A111" s="41"/>
      <c r="B111" s="36"/>
      <c r="C111" s="1">
        <v>6</v>
      </c>
      <c r="D111" s="1" t="e">
        <f>NA()</f>
        <v>#N/A</v>
      </c>
      <c r="E111" s="1">
        <v>139</v>
      </c>
      <c r="F111" s="1" t="e">
        <f>NA()</f>
        <v>#N/A</v>
      </c>
      <c r="G111" s="1" t="e">
        <f>NA()</f>
        <v>#N/A</v>
      </c>
      <c r="H111" s="1" t="e">
        <f>NA()</f>
        <v>#N/A</v>
      </c>
      <c r="I111" s="1" t="e">
        <f>NA()</f>
        <v>#N/A</v>
      </c>
      <c r="J111" s="1" t="e">
        <f>NA()</f>
        <v>#N/A</v>
      </c>
    </row>
    <row r="112" spans="1:10">
      <c r="A112" s="41">
        <v>23</v>
      </c>
      <c r="B112" s="36">
        <v>44202</v>
      </c>
      <c r="C112" s="1">
        <v>1</v>
      </c>
      <c r="D112" s="1">
        <v>98</v>
      </c>
      <c r="E112" s="1">
        <v>98</v>
      </c>
      <c r="F112" s="1" t="e">
        <f>NA()</f>
        <v>#N/A</v>
      </c>
      <c r="G112" s="1">
        <v>95</v>
      </c>
      <c r="H112" s="1" t="e">
        <f>NA()</f>
        <v>#N/A</v>
      </c>
      <c r="I112" s="1" t="e">
        <f>NA()</f>
        <v>#N/A</v>
      </c>
      <c r="J112" s="1" t="e">
        <f>NA()</f>
        <v>#N/A</v>
      </c>
    </row>
    <row r="113" spans="1:10">
      <c r="A113" s="41"/>
      <c r="B113" s="36"/>
      <c r="C113" s="1">
        <v>2</v>
      </c>
      <c r="D113" s="1">
        <v>143</v>
      </c>
      <c r="E113" s="1">
        <v>144</v>
      </c>
      <c r="F113" s="1" t="e">
        <f>NA()</f>
        <v>#N/A</v>
      </c>
      <c r="G113" s="1">
        <v>82</v>
      </c>
      <c r="H113" s="1" t="e">
        <f>NA()</f>
        <v>#N/A</v>
      </c>
      <c r="I113" s="1" t="e">
        <f>NA()</f>
        <v>#N/A</v>
      </c>
      <c r="J113" s="1" t="e">
        <f>NA()</f>
        <v>#N/A</v>
      </c>
    </row>
    <row r="114" spans="1:10">
      <c r="A114" s="41"/>
      <c r="B114" s="36"/>
      <c r="C114" s="1">
        <v>3</v>
      </c>
      <c r="D114" s="1">
        <v>111</v>
      </c>
      <c r="E114" s="1">
        <v>139</v>
      </c>
      <c r="F114" s="1" t="e">
        <f>NA()</f>
        <v>#N/A</v>
      </c>
      <c r="G114" s="1">
        <v>100</v>
      </c>
      <c r="H114" s="1" t="e">
        <f>NA()</f>
        <v>#N/A</v>
      </c>
      <c r="I114" s="1" t="e">
        <f>NA()</f>
        <v>#N/A</v>
      </c>
      <c r="J114" s="1" t="e">
        <f>NA()</f>
        <v>#N/A</v>
      </c>
    </row>
    <row r="115" spans="1:10">
      <c r="A115" s="41"/>
      <c r="B115" s="36"/>
      <c r="C115" s="1">
        <v>4</v>
      </c>
      <c r="D115" s="1">
        <v>104</v>
      </c>
      <c r="E115" s="1">
        <v>160</v>
      </c>
      <c r="F115" s="1" t="e">
        <f>NA()</f>
        <v>#N/A</v>
      </c>
      <c r="G115" s="1">
        <v>119</v>
      </c>
      <c r="H115" s="1" t="e">
        <f>NA()</f>
        <v>#N/A</v>
      </c>
      <c r="I115" s="1" t="e">
        <f>NA()</f>
        <v>#N/A</v>
      </c>
      <c r="J115" s="1" t="e">
        <f>NA()</f>
        <v>#N/A</v>
      </c>
    </row>
    <row r="116" spans="1:10">
      <c r="A116" s="41"/>
      <c r="B116" s="36"/>
      <c r="C116" s="1">
        <v>5</v>
      </c>
      <c r="D116" s="1">
        <v>127</v>
      </c>
      <c r="E116" s="1">
        <v>126</v>
      </c>
      <c r="F116" s="1" t="e">
        <f>NA()</f>
        <v>#N/A</v>
      </c>
      <c r="G116" s="1">
        <v>98</v>
      </c>
      <c r="H116" s="1" t="e">
        <f>NA()</f>
        <v>#N/A</v>
      </c>
      <c r="I116" s="1" t="e">
        <f>NA()</f>
        <v>#N/A</v>
      </c>
      <c r="J116" s="1" t="e">
        <f>NA()</f>
        <v>#N/A</v>
      </c>
    </row>
    <row r="117" spans="1:10">
      <c r="A117" s="41">
        <v>24</v>
      </c>
      <c r="B117" s="36">
        <v>44206</v>
      </c>
      <c r="C117" s="1">
        <v>1</v>
      </c>
      <c r="D117" s="1">
        <v>133</v>
      </c>
      <c r="E117" s="1">
        <v>107</v>
      </c>
      <c r="F117" s="1" t="e">
        <f>NA()</f>
        <v>#N/A</v>
      </c>
      <c r="G117" s="1">
        <v>96</v>
      </c>
      <c r="H117" s="1" t="e">
        <f>NA()</f>
        <v>#N/A</v>
      </c>
      <c r="I117" s="1" t="e">
        <f>NA()</f>
        <v>#N/A</v>
      </c>
      <c r="J117" s="1" t="e">
        <f>NA()</f>
        <v>#N/A</v>
      </c>
    </row>
    <row r="118" spans="1:10">
      <c r="A118" s="41"/>
      <c r="B118" s="36"/>
      <c r="C118" s="1">
        <v>2</v>
      </c>
      <c r="D118" s="1">
        <v>130</v>
      </c>
      <c r="E118" s="1">
        <v>122</v>
      </c>
      <c r="F118" s="1" t="e">
        <f>NA()</f>
        <v>#N/A</v>
      </c>
      <c r="G118" s="1">
        <v>100</v>
      </c>
      <c r="H118" s="1" t="e">
        <f>NA()</f>
        <v>#N/A</v>
      </c>
      <c r="I118" s="1" t="e">
        <f>NA()</f>
        <v>#N/A</v>
      </c>
      <c r="J118" s="1" t="e">
        <f>NA()</f>
        <v>#N/A</v>
      </c>
    </row>
    <row r="119" spans="1:10">
      <c r="A119" s="41"/>
      <c r="B119" s="36"/>
      <c r="C119" s="1">
        <v>3</v>
      </c>
      <c r="D119" s="1">
        <v>145</v>
      </c>
      <c r="E119" s="1">
        <v>126</v>
      </c>
      <c r="F119" s="1" t="e">
        <f>NA()</f>
        <v>#N/A</v>
      </c>
      <c r="G119" s="1">
        <v>160</v>
      </c>
      <c r="H119" s="1" t="e">
        <f>NA()</f>
        <v>#N/A</v>
      </c>
      <c r="I119" s="1" t="e">
        <f>NA()</f>
        <v>#N/A</v>
      </c>
      <c r="J119" s="1" t="e">
        <f>NA()</f>
        <v>#N/A</v>
      </c>
    </row>
    <row r="120" spans="1:10">
      <c r="A120" s="41"/>
      <c r="B120" s="36"/>
      <c r="C120" s="1">
        <v>4</v>
      </c>
      <c r="D120" s="1">
        <v>140</v>
      </c>
      <c r="E120" s="1">
        <v>131</v>
      </c>
      <c r="F120" s="1" t="e">
        <f>NA()</f>
        <v>#N/A</v>
      </c>
      <c r="G120" s="1">
        <v>135</v>
      </c>
      <c r="H120" s="1" t="e">
        <f>NA()</f>
        <v>#N/A</v>
      </c>
      <c r="I120" s="1" t="e">
        <f>NA()</f>
        <v>#N/A</v>
      </c>
      <c r="J120" s="1" t="e">
        <f>NA()</f>
        <v>#N/A</v>
      </c>
    </row>
    <row r="121" spans="1:10">
      <c r="A121" s="41"/>
      <c r="B121" s="36"/>
      <c r="C121" s="1">
        <v>5</v>
      </c>
      <c r="D121" s="1">
        <v>96</v>
      </c>
      <c r="E121" s="1">
        <v>142</v>
      </c>
      <c r="F121" s="1" t="e">
        <f>NA()</f>
        <v>#N/A</v>
      </c>
      <c r="G121" s="1">
        <v>144</v>
      </c>
      <c r="H121" s="1" t="e">
        <f>NA()</f>
        <v>#N/A</v>
      </c>
      <c r="I121" s="1" t="e">
        <f>NA()</f>
        <v>#N/A</v>
      </c>
      <c r="J121" s="1" t="e">
        <f>NA()</f>
        <v>#N/A</v>
      </c>
    </row>
    <row r="122" spans="1:10">
      <c r="A122" s="41"/>
      <c r="B122" s="36"/>
      <c r="C122" s="1">
        <v>6</v>
      </c>
      <c r="D122" s="1">
        <v>145</v>
      </c>
      <c r="E122" s="1">
        <v>167</v>
      </c>
      <c r="F122" s="1" t="e">
        <f>NA()</f>
        <v>#N/A</v>
      </c>
      <c r="G122" s="1">
        <v>111</v>
      </c>
      <c r="H122" s="1" t="e">
        <f>NA()</f>
        <v>#N/A</v>
      </c>
      <c r="I122" s="1" t="e">
        <f>NA()</f>
        <v>#N/A</v>
      </c>
      <c r="J122" s="1" t="e">
        <f>NA()</f>
        <v>#N/A</v>
      </c>
    </row>
    <row r="123" spans="1:10">
      <c r="A123" s="41"/>
      <c r="B123" s="36"/>
      <c r="C123" s="1">
        <v>7</v>
      </c>
      <c r="D123" s="1">
        <v>103</v>
      </c>
      <c r="E123" s="1">
        <v>108</v>
      </c>
      <c r="F123" s="1" t="e">
        <f>NA()</f>
        <v>#N/A</v>
      </c>
      <c r="G123" s="1">
        <v>109</v>
      </c>
      <c r="H123" s="1" t="e">
        <f>NA()</f>
        <v>#N/A</v>
      </c>
      <c r="I123" s="1" t="e">
        <f>NA()</f>
        <v>#N/A</v>
      </c>
      <c r="J123" s="1" t="e">
        <f>NA()</f>
        <v>#N/A</v>
      </c>
    </row>
    <row r="124" spans="1:10">
      <c r="A124" s="41">
        <v>25</v>
      </c>
      <c r="B124" s="36">
        <v>44209</v>
      </c>
      <c r="C124" s="1">
        <v>1</v>
      </c>
      <c r="D124" s="1">
        <v>73</v>
      </c>
      <c r="E124" s="1">
        <v>104</v>
      </c>
      <c r="F124" s="1" t="e">
        <f>NA()</f>
        <v>#N/A</v>
      </c>
      <c r="G124" s="1">
        <v>102</v>
      </c>
      <c r="H124" s="1" t="e">
        <f>NA()</f>
        <v>#N/A</v>
      </c>
      <c r="I124" s="1" t="e">
        <f>NA()</f>
        <v>#N/A</v>
      </c>
      <c r="J124" s="1" t="e">
        <f>NA()</f>
        <v>#N/A</v>
      </c>
    </row>
    <row r="125" spans="1:10">
      <c r="A125" s="41"/>
      <c r="B125" s="36"/>
      <c r="C125" s="1">
        <v>2</v>
      </c>
      <c r="D125" s="1">
        <v>124</v>
      </c>
      <c r="E125" s="1">
        <v>135</v>
      </c>
      <c r="F125" s="1" t="e">
        <f>NA()</f>
        <v>#N/A</v>
      </c>
      <c r="G125" s="1">
        <v>123</v>
      </c>
      <c r="H125" s="1" t="e">
        <f>NA()</f>
        <v>#N/A</v>
      </c>
      <c r="I125" s="1" t="e">
        <f>NA()</f>
        <v>#N/A</v>
      </c>
      <c r="J125" s="1" t="e">
        <f>NA()</f>
        <v>#N/A</v>
      </c>
    </row>
    <row r="126" spans="1:10">
      <c r="A126" s="41"/>
      <c r="B126" s="36"/>
      <c r="C126" s="1">
        <v>3</v>
      </c>
      <c r="D126" s="1">
        <v>121</v>
      </c>
      <c r="E126" s="1">
        <v>110</v>
      </c>
      <c r="F126" s="1" t="e">
        <f>NA()</f>
        <v>#N/A</v>
      </c>
      <c r="G126" s="1">
        <v>106</v>
      </c>
      <c r="H126" s="1" t="e">
        <f>NA()</f>
        <v>#N/A</v>
      </c>
      <c r="I126" s="1" t="e">
        <f>NA()</f>
        <v>#N/A</v>
      </c>
      <c r="J126" s="1" t="e">
        <f>NA()</f>
        <v>#N/A</v>
      </c>
    </row>
    <row r="127" spans="1:10">
      <c r="A127" s="41"/>
      <c r="B127" s="36"/>
      <c r="C127" s="1">
        <v>4</v>
      </c>
      <c r="D127" s="1">
        <v>95</v>
      </c>
      <c r="E127" s="1">
        <v>116</v>
      </c>
      <c r="F127" s="1" t="e">
        <f>NA()</f>
        <v>#N/A</v>
      </c>
      <c r="G127" s="1">
        <v>129</v>
      </c>
      <c r="H127" s="1" t="e">
        <f>NA()</f>
        <v>#N/A</v>
      </c>
      <c r="I127" s="1" t="e">
        <f>NA()</f>
        <v>#N/A</v>
      </c>
      <c r="J127" s="1" t="e">
        <f>NA()</f>
        <v>#N/A</v>
      </c>
    </row>
    <row r="128" spans="1:10">
      <c r="A128" s="41"/>
      <c r="B128" s="36"/>
      <c r="C128" s="1">
        <v>5</v>
      </c>
      <c r="D128" s="1">
        <v>113</v>
      </c>
      <c r="E128" s="1">
        <v>90</v>
      </c>
      <c r="F128" s="1" t="e">
        <f>NA()</f>
        <v>#N/A</v>
      </c>
      <c r="G128" s="1">
        <v>104</v>
      </c>
      <c r="H128" s="1" t="e">
        <f>NA()</f>
        <v>#N/A</v>
      </c>
      <c r="I128" s="1" t="e">
        <f>NA()</f>
        <v>#N/A</v>
      </c>
      <c r="J128" s="1" t="e">
        <f>NA()</f>
        <v>#N/A</v>
      </c>
    </row>
    <row r="129" spans="1:10">
      <c r="A129" s="41">
        <v>26</v>
      </c>
      <c r="B129" s="36">
        <v>44223</v>
      </c>
      <c r="C129" s="1">
        <v>1</v>
      </c>
      <c r="D129" s="1">
        <v>145</v>
      </c>
      <c r="E129" s="1">
        <v>112</v>
      </c>
      <c r="F129" s="1" t="e">
        <f>NA()</f>
        <v>#N/A</v>
      </c>
      <c r="G129" s="1">
        <v>91</v>
      </c>
      <c r="H129" s="1" t="e">
        <f>NA()</f>
        <v>#N/A</v>
      </c>
      <c r="I129" s="1" t="e">
        <f>NA()</f>
        <v>#N/A</v>
      </c>
      <c r="J129" s="1" t="e">
        <f>NA()</f>
        <v>#N/A</v>
      </c>
    </row>
    <row r="130" spans="1:10">
      <c r="A130" s="41"/>
      <c r="B130" s="36"/>
      <c r="C130" s="1">
        <v>2</v>
      </c>
      <c r="D130" s="1">
        <v>124</v>
      </c>
      <c r="E130" s="1">
        <v>133</v>
      </c>
      <c r="F130" s="1" t="e">
        <f>NA()</f>
        <v>#N/A</v>
      </c>
      <c r="G130" s="1">
        <v>110</v>
      </c>
      <c r="H130" s="1" t="e">
        <f>NA()</f>
        <v>#N/A</v>
      </c>
      <c r="I130" s="1" t="e">
        <f>NA()</f>
        <v>#N/A</v>
      </c>
      <c r="J130" s="1" t="e">
        <f>NA()</f>
        <v>#N/A</v>
      </c>
    </row>
    <row r="131" spans="1:10">
      <c r="A131" s="41"/>
      <c r="B131" s="36"/>
      <c r="C131" s="1">
        <v>3</v>
      </c>
      <c r="D131" s="1">
        <v>142</v>
      </c>
      <c r="E131" s="1">
        <v>158</v>
      </c>
      <c r="F131" s="1" t="e">
        <f>NA()</f>
        <v>#N/A</v>
      </c>
      <c r="G131" s="1">
        <v>85</v>
      </c>
      <c r="H131" s="1" t="e">
        <f>NA()</f>
        <v>#N/A</v>
      </c>
      <c r="I131" s="1" t="e">
        <f>NA()</f>
        <v>#N/A</v>
      </c>
      <c r="J131" s="1" t="e">
        <f>NA()</f>
        <v>#N/A</v>
      </c>
    </row>
    <row r="132" spans="1:10">
      <c r="A132" s="41"/>
      <c r="B132" s="36"/>
      <c r="C132" s="1">
        <v>4</v>
      </c>
      <c r="D132" s="1">
        <v>142</v>
      </c>
      <c r="E132" s="1">
        <v>129</v>
      </c>
      <c r="F132" s="1" t="e">
        <f>NA()</f>
        <v>#N/A</v>
      </c>
      <c r="G132" s="1">
        <v>106</v>
      </c>
      <c r="H132" s="1" t="e">
        <f>NA()</f>
        <v>#N/A</v>
      </c>
      <c r="I132" s="1" t="e">
        <f>NA()</f>
        <v>#N/A</v>
      </c>
      <c r="J132" s="1" t="e">
        <f>NA()</f>
        <v>#N/A</v>
      </c>
    </row>
    <row r="133" spans="1:10">
      <c r="A133" s="41"/>
      <c r="B133" s="36"/>
      <c r="C133" s="1">
        <v>5</v>
      </c>
      <c r="D133" s="1">
        <v>102</v>
      </c>
      <c r="E133" s="1">
        <v>156</v>
      </c>
      <c r="F133" s="1" t="e">
        <f>NA()</f>
        <v>#N/A</v>
      </c>
      <c r="G133" s="1">
        <v>100</v>
      </c>
      <c r="H133" s="1" t="e">
        <f>NA()</f>
        <v>#N/A</v>
      </c>
      <c r="I133" s="1" t="e">
        <f>NA()</f>
        <v>#N/A</v>
      </c>
      <c r="J133" s="1" t="e">
        <f>NA()</f>
        <v>#N/A</v>
      </c>
    </row>
    <row r="134" spans="1:10">
      <c r="A134" s="41">
        <v>27</v>
      </c>
      <c r="B134" s="36">
        <v>44230</v>
      </c>
      <c r="C134" s="1">
        <v>1</v>
      </c>
      <c r="D134" s="1">
        <v>125</v>
      </c>
      <c r="E134" s="1">
        <v>158</v>
      </c>
      <c r="F134" s="1" t="e">
        <f>NA()</f>
        <v>#N/A</v>
      </c>
      <c r="G134" s="1">
        <v>120</v>
      </c>
      <c r="H134" s="1" t="e">
        <f>NA()</f>
        <v>#N/A</v>
      </c>
      <c r="I134" s="1" t="e">
        <f>NA()</f>
        <v>#N/A</v>
      </c>
      <c r="J134" s="1" t="e">
        <f>NA()</f>
        <v>#N/A</v>
      </c>
    </row>
    <row r="135" spans="1:10">
      <c r="A135" s="41"/>
      <c r="B135" s="36"/>
      <c r="C135" s="1">
        <v>2</v>
      </c>
      <c r="D135" s="1">
        <v>132</v>
      </c>
      <c r="E135" s="1">
        <v>137</v>
      </c>
      <c r="F135" s="1" t="e">
        <f>NA()</f>
        <v>#N/A</v>
      </c>
      <c r="G135" s="1">
        <v>152</v>
      </c>
      <c r="H135" s="1" t="e">
        <f>NA()</f>
        <v>#N/A</v>
      </c>
      <c r="I135" s="1" t="e">
        <f>NA()</f>
        <v>#N/A</v>
      </c>
      <c r="J135" s="1" t="e">
        <f>NA()</f>
        <v>#N/A</v>
      </c>
    </row>
    <row r="136" spans="1:10">
      <c r="A136" s="41"/>
      <c r="B136" s="36"/>
      <c r="C136" s="1">
        <v>3</v>
      </c>
      <c r="D136" s="1">
        <v>110</v>
      </c>
      <c r="E136" s="1">
        <v>146</v>
      </c>
      <c r="F136" s="1" t="e">
        <f>NA()</f>
        <v>#N/A</v>
      </c>
      <c r="G136" s="1">
        <v>125</v>
      </c>
      <c r="H136" s="1" t="e">
        <f>NA()</f>
        <v>#N/A</v>
      </c>
      <c r="I136" s="1" t="e">
        <f>NA()</f>
        <v>#N/A</v>
      </c>
      <c r="J136" s="1" t="e">
        <f>NA()</f>
        <v>#N/A</v>
      </c>
    </row>
    <row r="137" spans="1:10">
      <c r="A137" s="41"/>
      <c r="B137" s="36"/>
      <c r="C137" s="1">
        <v>4</v>
      </c>
      <c r="D137" s="1">
        <v>118</v>
      </c>
      <c r="E137" s="1">
        <v>176</v>
      </c>
      <c r="F137" s="1" t="e">
        <f>NA()</f>
        <v>#N/A</v>
      </c>
      <c r="G137" s="1">
        <v>106</v>
      </c>
      <c r="H137" s="1" t="e">
        <f>NA()</f>
        <v>#N/A</v>
      </c>
      <c r="I137" s="1" t="e">
        <f>NA()</f>
        <v>#N/A</v>
      </c>
      <c r="J137" s="1" t="e">
        <f>NA()</f>
        <v>#N/A</v>
      </c>
    </row>
    <row r="138" spans="1:10">
      <c r="A138" s="41"/>
      <c r="B138" s="36"/>
      <c r="C138" s="1">
        <v>5</v>
      </c>
      <c r="D138" s="1">
        <v>141</v>
      </c>
      <c r="E138" s="1">
        <v>143</v>
      </c>
      <c r="F138" s="1" t="e">
        <f>NA()</f>
        <v>#N/A</v>
      </c>
      <c r="G138" s="1">
        <v>107</v>
      </c>
      <c r="H138" s="1" t="e">
        <f>NA()</f>
        <v>#N/A</v>
      </c>
      <c r="I138" s="1" t="e">
        <f>NA()</f>
        <v>#N/A</v>
      </c>
      <c r="J138" s="1" t="e">
        <f>NA()</f>
        <v>#N/A</v>
      </c>
    </row>
    <row r="139" spans="1:10">
      <c r="A139" s="35" t="s">
        <v>122</v>
      </c>
      <c r="B139" s="36">
        <v>44246</v>
      </c>
      <c r="C139" s="1">
        <v>1</v>
      </c>
      <c r="D139" s="1">
        <v>108</v>
      </c>
      <c r="E139" s="1">
        <v>155</v>
      </c>
      <c r="F139" s="1" t="e">
        <f>NA()</f>
        <v>#N/A</v>
      </c>
      <c r="G139" s="1" t="e">
        <f>NA()</f>
        <v>#N/A</v>
      </c>
      <c r="H139" s="1" t="e">
        <f>NA()</f>
        <v>#N/A</v>
      </c>
      <c r="I139" s="1" t="e">
        <f>NA()</f>
        <v>#N/A</v>
      </c>
      <c r="J139" s="1" t="e">
        <f>NA()</f>
        <v>#N/A</v>
      </c>
    </row>
    <row r="140" spans="1:10">
      <c r="A140" s="35"/>
      <c r="B140" s="36"/>
      <c r="C140" s="1">
        <v>2</v>
      </c>
      <c r="D140" s="1">
        <v>125</v>
      </c>
      <c r="E140" s="1">
        <v>142</v>
      </c>
      <c r="F140" s="1" t="e">
        <f>NA()</f>
        <v>#N/A</v>
      </c>
      <c r="G140" s="1" t="e">
        <f>NA()</f>
        <v>#N/A</v>
      </c>
      <c r="H140" s="1" t="e">
        <f>NA()</f>
        <v>#N/A</v>
      </c>
      <c r="I140" s="1" t="e">
        <f>NA()</f>
        <v>#N/A</v>
      </c>
      <c r="J140" s="1" t="e">
        <f>NA()</f>
        <v>#N/A</v>
      </c>
    </row>
    <row r="141" spans="1:10">
      <c r="A141" s="35" t="s">
        <v>123</v>
      </c>
      <c r="B141" s="36">
        <v>44246</v>
      </c>
      <c r="C141" s="1">
        <v>1</v>
      </c>
      <c r="D141" s="1">
        <v>95</v>
      </c>
      <c r="E141" s="1">
        <v>122</v>
      </c>
      <c r="F141" s="1" t="e">
        <f>NA()</f>
        <v>#N/A</v>
      </c>
      <c r="G141" s="1">
        <v>137</v>
      </c>
      <c r="H141" s="1" t="e">
        <f>NA()</f>
        <v>#N/A</v>
      </c>
      <c r="I141" s="1" t="e">
        <f>NA()</f>
        <v>#N/A</v>
      </c>
      <c r="J141" s="1" t="e">
        <f>NA()</f>
        <v>#N/A</v>
      </c>
    </row>
    <row r="142" spans="1:10">
      <c r="A142" s="35"/>
      <c r="B142" s="36"/>
      <c r="C142" s="1">
        <v>2</v>
      </c>
      <c r="D142" s="1">
        <v>134</v>
      </c>
      <c r="E142" s="1">
        <v>156</v>
      </c>
      <c r="F142" s="1" t="e">
        <f>NA()</f>
        <v>#N/A</v>
      </c>
      <c r="G142" s="1">
        <v>143</v>
      </c>
      <c r="H142" s="1" t="e">
        <f>NA()</f>
        <v>#N/A</v>
      </c>
      <c r="I142" s="1" t="e">
        <f>NA()</f>
        <v>#N/A</v>
      </c>
      <c r="J142" s="1" t="e">
        <f>NA()</f>
        <v>#N/A</v>
      </c>
    </row>
    <row r="143" spans="1:10">
      <c r="A143" s="35"/>
      <c r="B143" s="36"/>
      <c r="C143" s="1">
        <v>3</v>
      </c>
      <c r="D143" s="1">
        <v>136</v>
      </c>
      <c r="E143" s="1">
        <v>148</v>
      </c>
      <c r="F143" s="1" t="e">
        <f>NA()</f>
        <v>#N/A</v>
      </c>
      <c r="G143" s="1">
        <v>138</v>
      </c>
      <c r="H143" s="1" t="e">
        <f>NA()</f>
        <v>#N/A</v>
      </c>
      <c r="I143" s="1" t="e">
        <f>NA()</f>
        <v>#N/A</v>
      </c>
      <c r="J143" s="1" t="e">
        <f>NA()</f>
        <v>#N/A</v>
      </c>
    </row>
    <row r="144" spans="1:10">
      <c r="A144" s="35"/>
      <c r="B144" s="36"/>
      <c r="C144" s="1">
        <v>4</v>
      </c>
      <c r="D144" s="1">
        <v>129</v>
      </c>
      <c r="E144" s="1">
        <v>125</v>
      </c>
      <c r="F144" s="1" t="e">
        <f>NA()</f>
        <v>#N/A</v>
      </c>
      <c r="G144" s="1">
        <v>130</v>
      </c>
      <c r="H144" s="1" t="e">
        <f>NA()</f>
        <v>#N/A</v>
      </c>
      <c r="I144" s="1" t="e">
        <f>NA()</f>
        <v>#N/A</v>
      </c>
      <c r="J144" s="1" t="e">
        <f>NA()</f>
        <v>#N/A</v>
      </c>
    </row>
    <row r="145" spans="1:10">
      <c r="A145" s="35"/>
      <c r="B145" s="36"/>
      <c r="C145" s="1">
        <v>5</v>
      </c>
      <c r="D145" s="1">
        <v>145</v>
      </c>
      <c r="E145" s="1">
        <v>130</v>
      </c>
      <c r="F145" s="1" t="e">
        <f>NA()</f>
        <v>#N/A</v>
      </c>
      <c r="G145" s="1">
        <v>109</v>
      </c>
      <c r="H145" s="1" t="e">
        <f>NA()</f>
        <v>#N/A</v>
      </c>
      <c r="I145" s="1" t="e">
        <f>NA()</f>
        <v>#N/A</v>
      </c>
      <c r="J145" s="1" t="e">
        <f>NA()</f>
        <v>#N/A</v>
      </c>
    </row>
    <row r="146" spans="1:10">
      <c r="A146" s="41">
        <v>29</v>
      </c>
      <c r="B146" s="36">
        <v>44260</v>
      </c>
      <c r="C146" s="1">
        <v>1</v>
      </c>
      <c r="D146" s="1">
        <v>112</v>
      </c>
      <c r="E146" s="1">
        <v>122</v>
      </c>
      <c r="F146" s="1" t="e">
        <f>NA()</f>
        <v>#N/A</v>
      </c>
      <c r="G146" s="1" t="e">
        <f>NA()</f>
        <v>#N/A</v>
      </c>
      <c r="H146" s="1" t="e">
        <f>NA()</f>
        <v>#N/A</v>
      </c>
      <c r="I146" s="1" t="e">
        <f>NA()</f>
        <v>#N/A</v>
      </c>
      <c r="J146" s="1" t="e">
        <f>NA()</f>
        <v>#N/A</v>
      </c>
    </row>
    <row r="147" spans="1:10">
      <c r="A147" s="41"/>
      <c r="B147" s="36"/>
      <c r="C147" s="1">
        <v>2</v>
      </c>
      <c r="D147" s="1">
        <v>157</v>
      </c>
      <c r="E147" s="1">
        <v>133</v>
      </c>
      <c r="F147" s="1" t="e">
        <f>NA()</f>
        <v>#N/A</v>
      </c>
      <c r="G147" s="1" t="e">
        <f>NA()</f>
        <v>#N/A</v>
      </c>
      <c r="H147" s="1" t="e">
        <f>NA()</f>
        <v>#N/A</v>
      </c>
      <c r="I147" s="1" t="e">
        <f>NA()</f>
        <v>#N/A</v>
      </c>
      <c r="J147" s="1" t="e">
        <f>NA()</f>
        <v>#N/A</v>
      </c>
    </row>
    <row r="148" spans="1:10">
      <c r="A148" s="41"/>
      <c r="B148" s="36"/>
      <c r="C148" s="1">
        <v>3</v>
      </c>
      <c r="D148" s="1">
        <v>155</v>
      </c>
      <c r="E148" s="1">
        <v>145</v>
      </c>
      <c r="F148" s="1" t="e">
        <f>NA()</f>
        <v>#N/A</v>
      </c>
      <c r="G148" s="1" t="e">
        <f>NA()</f>
        <v>#N/A</v>
      </c>
      <c r="H148" s="1" t="e">
        <f>NA()</f>
        <v>#N/A</v>
      </c>
      <c r="I148" s="1" t="e">
        <f>NA()</f>
        <v>#N/A</v>
      </c>
      <c r="J148" s="1" t="e">
        <f>NA()</f>
        <v>#N/A</v>
      </c>
    </row>
    <row r="149" spans="1:10">
      <c r="A149" s="41"/>
      <c r="B149" s="36"/>
      <c r="C149" s="1">
        <v>4</v>
      </c>
      <c r="D149" s="1">
        <v>138</v>
      </c>
      <c r="E149" s="1">
        <v>103</v>
      </c>
      <c r="F149" s="1" t="e">
        <f>NA()</f>
        <v>#N/A</v>
      </c>
      <c r="G149" s="1" t="e">
        <f>NA()</f>
        <v>#N/A</v>
      </c>
      <c r="H149" s="1" t="e">
        <f>NA()</f>
        <v>#N/A</v>
      </c>
      <c r="I149" s="1" t="e">
        <f>NA()</f>
        <v>#N/A</v>
      </c>
      <c r="J149" s="1" t="e">
        <f>NA()</f>
        <v>#N/A</v>
      </c>
    </row>
    <row r="150" spans="1:10">
      <c r="A150" s="41"/>
      <c r="B150" s="36"/>
      <c r="C150" s="1">
        <v>5</v>
      </c>
      <c r="D150" s="1">
        <v>134</v>
      </c>
      <c r="E150" s="1">
        <v>136</v>
      </c>
      <c r="F150" s="1" t="e">
        <f>NA()</f>
        <v>#N/A</v>
      </c>
      <c r="G150" s="1" t="e">
        <f>NA()</f>
        <v>#N/A</v>
      </c>
      <c r="H150" s="1" t="e">
        <f>NA()</f>
        <v>#N/A</v>
      </c>
      <c r="I150" s="1" t="e">
        <f>NA()</f>
        <v>#N/A</v>
      </c>
      <c r="J150" s="1" t="e">
        <f>NA()</f>
        <v>#N/A</v>
      </c>
    </row>
    <row r="151" spans="1:10">
      <c r="A151" s="41"/>
      <c r="B151" s="36"/>
      <c r="C151" s="1">
        <v>6</v>
      </c>
      <c r="D151" s="1">
        <v>85</v>
      </c>
      <c r="E151" s="1">
        <v>140</v>
      </c>
      <c r="F151" s="1" t="e">
        <f>NA()</f>
        <v>#N/A</v>
      </c>
      <c r="G151" s="1" t="e">
        <f>NA()</f>
        <v>#N/A</v>
      </c>
      <c r="H151" s="1" t="e">
        <f>NA()</f>
        <v>#N/A</v>
      </c>
      <c r="I151" s="1" t="e">
        <f>NA()</f>
        <v>#N/A</v>
      </c>
      <c r="J151" s="1" t="e">
        <f>NA()</f>
        <v>#N/A</v>
      </c>
    </row>
    <row r="152" spans="1:10">
      <c r="A152" s="41">
        <v>30</v>
      </c>
      <c r="B152" s="36">
        <v>44267</v>
      </c>
      <c r="C152" s="1">
        <v>1</v>
      </c>
      <c r="D152" s="1">
        <v>157</v>
      </c>
      <c r="E152" s="1">
        <v>125</v>
      </c>
      <c r="F152" s="1" t="e">
        <f>NA()</f>
        <v>#N/A</v>
      </c>
      <c r="G152" s="1" t="e">
        <f>NA()</f>
        <v>#N/A</v>
      </c>
      <c r="H152" s="1" t="e">
        <f>NA()</f>
        <v>#N/A</v>
      </c>
      <c r="I152" s="1" t="e">
        <f>NA()</f>
        <v>#N/A</v>
      </c>
      <c r="J152" s="1" t="e">
        <f>NA()</f>
        <v>#N/A</v>
      </c>
    </row>
    <row r="153" spans="1:10">
      <c r="A153" s="41"/>
      <c r="B153" s="36"/>
      <c r="C153" s="1">
        <v>2</v>
      </c>
      <c r="D153" s="1">
        <v>108</v>
      </c>
      <c r="E153" s="1">
        <v>107</v>
      </c>
      <c r="F153" s="1" t="e">
        <f>NA()</f>
        <v>#N/A</v>
      </c>
      <c r="G153" s="1" t="e">
        <f>NA()</f>
        <v>#N/A</v>
      </c>
      <c r="H153" s="1" t="e">
        <f>NA()</f>
        <v>#N/A</v>
      </c>
      <c r="I153" s="1" t="e">
        <f>NA()</f>
        <v>#N/A</v>
      </c>
      <c r="J153" s="1" t="e">
        <f>NA()</f>
        <v>#N/A</v>
      </c>
    </row>
    <row r="154" spans="1:10">
      <c r="A154" s="41"/>
      <c r="B154" s="36"/>
      <c r="C154" s="1">
        <v>3</v>
      </c>
      <c r="D154" s="1">
        <v>129</v>
      </c>
      <c r="E154" s="1">
        <v>116</v>
      </c>
      <c r="F154" s="1" t="e">
        <f>NA()</f>
        <v>#N/A</v>
      </c>
      <c r="G154" s="1" t="e">
        <f>NA()</f>
        <v>#N/A</v>
      </c>
      <c r="H154" s="1" t="e">
        <f>NA()</f>
        <v>#N/A</v>
      </c>
      <c r="I154" s="1" t="e">
        <f>NA()</f>
        <v>#N/A</v>
      </c>
      <c r="J154" s="1" t="e">
        <f>NA()</f>
        <v>#N/A</v>
      </c>
    </row>
    <row r="155" spans="1:10">
      <c r="A155" s="41"/>
      <c r="B155" s="36"/>
      <c r="C155" s="1">
        <v>4</v>
      </c>
      <c r="D155" s="1">
        <v>93</v>
      </c>
      <c r="E155" s="1">
        <v>130</v>
      </c>
      <c r="F155" s="1" t="e">
        <f>NA()</f>
        <v>#N/A</v>
      </c>
      <c r="G155" s="1" t="e">
        <f>NA()</f>
        <v>#N/A</v>
      </c>
      <c r="H155" s="1" t="e">
        <f>NA()</f>
        <v>#N/A</v>
      </c>
      <c r="I155" s="1" t="e">
        <f>NA()</f>
        <v>#N/A</v>
      </c>
      <c r="J155" s="1" t="e">
        <f>NA()</f>
        <v>#N/A</v>
      </c>
    </row>
    <row r="156" spans="1:10">
      <c r="A156" s="41"/>
      <c r="B156" s="36"/>
      <c r="C156" s="1">
        <v>5</v>
      </c>
      <c r="D156" s="1">
        <v>104</v>
      </c>
      <c r="E156" s="1">
        <v>164</v>
      </c>
      <c r="F156" s="1" t="e">
        <f>NA()</f>
        <v>#N/A</v>
      </c>
      <c r="G156" s="1" t="e">
        <f>NA()</f>
        <v>#N/A</v>
      </c>
      <c r="H156" s="1" t="e">
        <f>NA()</f>
        <v>#N/A</v>
      </c>
      <c r="I156" s="1" t="e">
        <f>NA()</f>
        <v>#N/A</v>
      </c>
      <c r="J156" s="1" t="e">
        <f>NA()</f>
        <v>#N/A</v>
      </c>
    </row>
    <row r="157" spans="1:10">
      <c r="A157" s="41"/>
      <c r="B157" s="36"/>
      <c r="C157" s="1">
        <v>6</v>
      </c>
      <c r="D157" s="1">
        <v>110</v>
      </c>
      <c r="E157" s="1">
        <v>113</v>
      </c>
      <c r="F157" s="1" t="e">
        <f>NA()</f>
        <v>#N/A</v>
      </c>
      <c r="G157" s="1" t="e">
        <f>NA()</f>
        <v>#N/A</v>
      </c>
      <c r="H157" s="1" t="e">
        <f>NA()</f>
        <v>#N/A</v>
      </c>
      <c r="I157" s="1" t="e">
        <f>NA()</f>
        <v>#N/A</v>
      </c>
      <c r="J157" s="1" t="e">
        <f>NA()</f>
        <v>#N/A</v>
      </c>
    </row>
    <row r="158" spans="1:10">
      <c r="A158" s="35" t="s">
        <v>22</v>
      </c>
      <c r="B158" s="36">
        <v>44272</v>
      </c>
      <c r="C158" s="1">
        <v>1</v>
      </c>
      <c r="D158" s="1">
        <v>154</v>
      </c>
      <c r="E158" s="1">
        <v>112</v>
      </c>
      <c r="F158" s="1" t="e">
        <f>NA()</f>
        <v>#N/A</v>
      </c>
      <c r="G158" s="1" t="e">
        <f>NA()</f>
        <v>#N/A</v>
      </c>
      <c r="H158" s="1" t="e">
        <f>NA()</f>
        <v>#N/A</v>
      </c>
      <c r="I158" s="1" t="e">
        <f>NA()</f>
        <v>#N/A</v>
      </c>
      <c r="J158" s="1" t="e">
        <f>NA()</f>
        <v>#N/A</v>
      </c>
    </row>
    <row r="159" spans="1:10">
      <c r="A159" s="35"/>
      <c r="B159" s="36"/>
      <c r="C159" s="1">
        <v>2</v>
      </c>
      <c r="D159" s="1">
        <v>110</v>
      </c>
      <c r="E159" s="1">
        <v>138</v>
      </c>
      <c r="F159" s="1" t="e">
        <f>NA()</f>
        <v>#N/A</v>
      </c>
      <c r="G159" s="1" t="e">
        <f>NA()</f>
        <v>#N/A</v>
      </c>
      <c r="H159" s="1" t="e">
        <f>NA()</f>
        <v>#N/A</v>
      </c>
      <c r="I159" s="1" t="e">
        <f>NA()</f>
        <v>#N/A</v>
      </c>
      <c r="J159" s="1" t="e">
        <f>NA()</f>
        <v>#N/A</v>
      </c>
    </row>
    <row r="160" spans="1:10">
      <c r="A160" s="35"/>
      <c r="B160" s="36"/>
      <c r="C160" s="1">
        <v>3</v>
      </c>
      <c r="D160" s="1">
        <v>136</v>
      </c>
      <c r="E160" s="1">
        <v>124</v>
      </c>
      <c r="F160" s="1" t="e">
        <f>NA()</f>
        <v>#N/A</v>
      </c>
      <c r="G160" s="1" t="e">
        <f>NA()</f>
        <v>#N/A</v>
      </c>
      <c r="H160" s="1" t="e">
        <f>NA()</f>
        <v>#N/A</v>
      </c>
      <c r="I160" s="1" t="e">
        <f>NA()</f>
        <v>#N/A</v>
      </c>
      <c r="J160" s="1" t="e">
        <f>NA()</f>
        <v>#N/A</v>
      </c>
    </row>
    <row r="161" spans="1:10">
      <c r="A161" s="35"/>
      <c r="B161" s="36"/>
      <c r="C161" s="1">
        <v>4</v>
      </c>
      <c r="D161" s="1">
        <v>105</v>
      </c>
      <c r="E161" s="1">
        <v>102</v>
      </c>
      <c r="F161" s="1" t="e">
        <f>NA()</f>
        <v>#N/A</v>
      </c>
      <c r="G161" s="1" t="e">
        <f>NA()</f>
        <v>#N/A</v>
      </c>
      <c r="H161" s="1" t="e">
        <f>NA()</f>
        <v>#N/A</v>
      </c>
      <c r="I161" s="1" t="e">
        <f>NA()</f>
        <v>#N/A</v>
      </c>
      <c r="J161" s="1" t="e">
        <f>NA()</f>
        <v>#N/A</v>
      </c>
    </row>
    <row r="162" spans="1:10">
      <c r="A162" s="35"/>
      <c r="B162" s="36"/>
      <c r="C162" s="1">
        <v>5</v>
      </c>
      <c r="D162" s="1">
        <v>126</v>
      </c>
      <c r="E162" s="1">
        <v>85</v>
      </c>
      <c r="F162" s="1" t="e">
        <f>NA()</f>
        <v>#N/A</v>
      </c>
      <c r="G162" s="1" t="e">
        <f>NA()</f>
        <v>#N/A</v>
      </c>
      <c r="H162" s="1" t="e">
        <f>NA()</f>
        <v>#N/A</v>
      </c>
      <c r="I162" s="1" t="e">
        <f>NA()</f>
        <v>#N/A</v>
      </c>
      <c r="J162" s="1" t="e">
        <f>NA()</f>
        <v>#N/A</v>
      </c>
    </row>
    <row r="163" spans="1:10">
      <c r="A163" s="35" t="s">
        <v>23</v>
      </c>
      <c r="B163" s="36">
        <v>44278</v>
      </c>
      <c r="C163" s="1">
        <v>1</v>
      </c>
      <c r="D163" s="1">
        <v>137</v>
      </c>
      <c r="E163" s="1">
        <v>109</v>
      </c>
      <c r="F163" s="1" t="e">
        <f>NA()</f>
        <v>#N/A</v>
      </c>
      <c r="G163" s="1" t="e">
        <f>NA()</f>
        <v>#N/A</v>
      </c>
      <c r="H163" s="1" t="e">
        <f>NA()</f>
        <v>#N/A</v>
      </c>
      <c r="I163" s="1" t="e">
        <f>NA()</f>
        <v>#N/A</v>
      </c>
      <c r="J163" s="1" t="e">
        <f>NA()</f>
        <v>#N/A</v>
      </c>
    </row>
    <row r="164" spans="1:10">
      <c r="A164" s="35"/>
      <c r="B164" s="36"/>
      <c r="C164" s="1">
        <v>2</v>
      </c>
      <c r="D164" s="1">
        <v>131</v>
      </c>
      <c r="E164" s="1">
        <v>102</v>
      </c>
      <c r="F164" s="1" t="e">
        <f>NA()</f>
        <v>#N/A</v>
      </c>
      <c r="G164" s="1" t="e">
        <f>NA()</f>
        <v>#N/A</v>
      </c>
      <c r="H164" s="1" t="e">
        <f>NA()</f>
        <v>#N/A</v>
      </c>
      <c r="I164" s="1" t="e">
        <f>NA()</f>
        <v>#N/A</v>
      </c>
      <c r="J164" s="1" t="e">
        <f>NA()</f>
        <v>#N/A</v>
      </c>
    </row>
    <row r="165" spans="1:10">
      <c r="A165" s="35"/>
      <c r="B165" s="36"/>
      <c r="C165" s="1">
        <v>3</v>
      </c>
      <c r="D165" s="1">
        <v>135</v>
      </c>
      <c r="E165" s="1">
        <v>124</v>
      </c>
      <c r="F165" s="1" t="e">
        <f>NA()</f>
        <v>#N/A</v>
      </c>
      <c r="G165" s="1" t="e">
        <f>NA()</f>
        <v>#N/A</v>
      </c>
      <c r="H165" s="1" t="e">
        <f>NA()</f>
        <v>#N/A</v>
      </c>
      <c r="I165" s="1" t="e">
        <f>NA()</f>
        <v>#N/A</v>
      </c>
      <c r="J165" s="1" t="e">
        <f>NA()</f>
        <v>#N/A</v>
      </c>
    </row>
    <row r="166" spans="1:10">
      <c r="A166" s="35"/>
      <c r="B166" s="36"/>
      <c r="C166" s="1">
        <v>4</v>
      </c>
      <c r="D166" s="1">
        <v>122</v>
      </c>
      <c r="E166" s="1">
        <v>127</v>
      </c>
      <c r="F166" s="1" t="e">
        <f>NA()</f>
        <v>#N/A</v>
      </c>
      <c r="G166" s="1" t="e">
        <f>NA()</f>
        <v>#N/A</v>
      </c>
      <c r="H166" s="1" t="e">
        <f>NA()</f>
        <v>#N/A</v>
      </c>
      <c r="I166" s="1" t="e">
        <f>NA()</f>
        <v>#N/A</v>
      </c>
      <c r="J166" s="1" t="e">
        <f>NA()</f>
        <v>#N/A</v>
      </c>
    </row>
    <row r="167" spans="1:10">
      <c r="A167" s="35"/>
      <c r="B167" s="36"/>
      <c r="C167" s="1">
        <v>5</v>
      </c>
      <c r="D167" s="1">
        <v>114</v>
      </c>
      <c r="E167" s="1">
        <v>193</v>
      </c>
      <c r="F167" s="1" t="e">
        <f>NA()</f>
        <v>#N/A</v>
      </c>
      <c r="G167" s="1" t="e">
        <f>NA()</f>
        <v>#N/A</v>
      </c>
      <c r="H167" s="1" t="e">
        <f>NA()</f>
        <v>#N/A</v>
      </c>
      <c r="I167" s="1" t="e">
        <f>NA()</f>
        <v>#N/A</v>
      </c>
      <c r="J167" s="1" t="e">
        <f>NA()</f>
        <v>#N/A</v>
      </c>
    </row>
    <row r="168" spans="1:10">
      <c r="A168" s="35" t="s">
        <v>24</v>
      </c>
      <c r="B168" s="36">
        <v>44294</v>
      </c>
      <c r="C168" s="1">
        <v>1</v>
      </c>
      <c r="D168" s="1">
        <v>146</v>
      </c>
      <c r="E168" s="1">
        <v>141</v>
      </c>
      <c r="F168" s="1" t="e">
        <f>NA()</f>
        <v>#N/A</v>
      </c>
      <c r="G168" s="1" t="e">
        <f>NA()</f>
        <v>#N/A</v>
      </c>
      <c r="H168" s="1" t="e">
        <f>NA()</f>
        <v>#N/A</v>
      </c>
      <c r="I168" s="1" t="e">
        <f>NA()</f>
        <v>#N/A</v>
      </c>
      <c r="J168" s="1" t="e">
        <f>NA()</f>
        <v>#N/A</v>
      </c>
    </row>
    <row r="169" spans="1:10">
      <c r="A169" s="35"/>
      <c r="B169" s="36"/>
      <c r="C169" s="1">
        <v>2</v>
      </c>
      <c r="D169" s="1">
        <v>108</v>
      </c>
      <c r="E169" s="1">
        <v>144</v>
      </c>
      <c r="F169" s="1" t="e">
        <f>NA()</f>
        <v>#N/A</v>
      </c>
      <c r="G169" s="1" t="e">
        <f>NA()</f>
        <v>#N/A</v>
      </c>
      <c r="H169" s="1" t="e">
        <f>NA()</f>
        <v>#N/A</v>
      </c>
      <c r="I169" s="1" t="e">
        <f>NA()</f>
        <v>#N/A</v>
      </c>
      <c r="J169" s="1" t="e">
        <f>NA()</f>
        <v>#N/A</v>
      </c>
    </row>
    <row r="170" spans="1:10">
      <c r="A170" s="35"/>
      <c r="B170" s="36"/>
      <c r="C170" s="1">
        <v>3</v>
      </c>
      <c r="D170" s="1">
        <v>99</v>
      </c>
      <c r="E170" s="1">
        <v>148</v>
      </c>
      <c r="F170" s="1" t="e">
        <f>NA()</f>
        <v>#N/A</v>
      </c>
      <c r="G170" s="1" t="e">
        <f>NA()</f>
        <v>#N/A</v>
      </c>
      <c r="H170" s="1" t="e">
        <f>NA()</f>
        <v>#N/A</v>
      </c>
      <c r="I170" s="1" t="e">
        <f>NA()</f>
        <v>#N/A</v>
      </c>
      <c r="J170" s="1" t="e">
        <f>NA()</f>
        <v>#N/A</v>
      </c>
    </row>
    <row r="171" spans="1:10">
      <c r="A171" s="35"/>
      <c r="B171" s="36"/>
      <c r="C171" s="1">
        <v>4</v>
      </c>
      <c r="D171" s="1">
        <v>105</v>
      </c>
      <c r="E171" s="1">
        <v>157</v>
      </c>
      <c r="F171" s="1" t="e">
        <f>NA()</f>
        <v>#N/A</v>
      </c>
      <c r="G171" s="1" t="e">
        <f>NA()</f>
        <v>#N/A</v>
      </c>
      <c r="H171" s="1" t="e">
        <f>NA()</f>
        <v>#N/A</v>
      </c>
      <c r="I171" s="1" t="e">
        <f>NA()</f>
        <v>#N/A</v>
      </c>
      <c r="J171" s="1" t="e">
        <f>NA()</f>
        <v>#N/A</v>
      </c>
    </row>
    <row r="172" spans="1:10">
      <c r="A172" s="35"/>
      <c r="B172" s="36"/>
      <c r="C172" s="1">
        <v>5</v>
      </c>
      <c r="D172" s="1">
        <v>121</v>
      </c>
      <c r="E172" s="1">
        <v>135</v>
      </c>
      <c r="F172" s="1" t="e">
        <f>NA()</f>
        <v>#N/A</v>
      </c>
      <c r="G172" s="1" t="e">
        <f>NA()</f>
        <v>#N/A</v>
      </c>
      <c r="H172" s="1" t="e">
        <f>NA()</f>
        <v>#N/A</v>
      </c>
      <c r="I172" s="1" t="e">
        <f>NA()</f>
        <v>#N/A</v>
      </c>
      <c r="J172" s="1" t="e">
        <f>NA()</f>
        <v>#N/A</v>
      </c>
    </row>
    <row r="173" spans="1:10">
      <c r="A173" s="35" t="s">
        <v>25</v>
      </c>
      <c r="B173" s="36">
        <v>44300</v>
      </c>
      <c r="C173" s="1">
        <v>1</v>
      </c>
      <c r="D173" s="1">
        <v>81</v>
      </c>
      <c r="E173" s="1">
        <v>145</v>
      </c>
      <c r="F173" s="1" t="e">
        <f>NA()</f>
        <v>#N/A</v>
      </c>
      <c r="G173" s="1" t="e">
        <f>NA()</f>
        <v>#N/A</v>
      </c>
      <c r="H173" s="1" t="e">
        <f>NA()</f>
        <v>#N/A</v>
      </c>
      <c r="I173" s="1" t="e">
        <f>NA()</f>
        <v>#N/A</v>
      </c>
      <c r="J173" s="1" t="e">
        <f>NA()</f>
        <v>#N/A</v>
      </c>
    </row>
    <row r="174" spans="1:10">
      <c r="A174" s="35"/>
      <c r="B174" s="36"/>
      <c r="C174" s="1">
        <v>2</v>
      </c>
      <c r="D174" s="1">
        <v>133</v>
      </c>
      <c r="E174" s="1">
        <v>109</v>
      </c>
      <c r="F174" s="1" t="e">
        <f>NA()</f>
        <v>#N/A</v>
      </c>
      <c r="G174" s="1" t="e">
        <f>NA()</f>
        <v>#N/A</v>
      </c>
      <c r="H174" s="1" t="e">
        <f>NA()</f>
        <v>#N/A</v>
      </c>
      <c r="I174" s="1" t="e">
        <f>NA()</f>
        <v>#N/A</v>
      </c>
      <c r="J174" s="1" t="e">
        <f>NA()</f>
        <v>#N/A</v>
      </c>
    </row>
    <row r="175" spans="1:10">
      <c r="A175" s="35"/>
      <c r="B175" s="36"/>
      <c r="C175" s="1">
        <v>3</v>
      </c>
      <c r="D175" s="1">
        <v>131</v>
      </c>
      <c r="E175" s="1">
        <v>138</v>
      </c>
      <c r="F175" s="1" t="e">
        <f>NA()</f>
        <v>#N/A</v>
      </c>
      <c r="G175" s="1" t="e">
        <f>NA()</f>
        <v>#N/A</v>
      </c>
      <c r="H175" s="1" t="e">
        <f>NA()</f>
        <v>#N/A</v>
      </c>
      <c r="I175" s="1" t="e">
        <f>NA()</f>
        <v>#N/A</v>
      </c>
      <c r="J175" s="1" t="e">
        <f>NA()</f>
        <v>#N/A</v>
      </c>
    </row>
    <row r="176" spans="1:10">
      <c r="A176" s="35"/>
      <c r="B176" s="36"/>
      <c r="C176" s="1">
        <v>4</v>
      </c>
      <c r="D176" s="1">
        <v>96</v>
      </c>
      <c r="E176" s="1">
        <v>112</v>
      </c>
      <c r="F176" s="1" t="e">
        <f>NA()</f>
        <v>#N/A</v>
      </c>
      <c r="G176" s="1" t="e">
        <f>NA()</f>
        <v>#N/A</v>
      </c>
      <c r="H176" s="1" t="e">
        <f>NA()</f>
        <v>#N/A</v>
      </c>
      <c r="I176" s="1" t="e">
        <f>NA()</f>
        <v>#N/A</v>
      </c>
      <c r="J176" s="1" t="e">
        <f>NA()</f>
        <v>#N/A</v>
      </c>
    </row>
    <row r="177" spans="1:10">
      <c r="A177" s="35"/>
      <c r="B177" s="36"/>
      <c r="C177" s="1">
        <v>5</v>
      </c>
      <c r="D177" s="1">
        <v>103</v>
      </c>
      <c r="E177" s="1">
        <v>146</v>
      </c>
      <c r="F177" s="1" t="e">
        <f>NA()</f>
        <v>#N/A</v>
      </c>
      <c r="G177" s="1" t="e">
        <f>NA()</f>
        <v>#N/A</v>
      </c>
      <c r="H177" s="1" t="e">
        <f>NA()</f>
        <v>#N/A</v>
      </c>
      <c r="I177" s="1" t="e">
        <f>NA()</f>
        <v>#N/A</v>
      </c>
      <c r="J177" s="1" t="e">
        <f>NA()</f>
        <v>#N/A</v>
      </c>
    </row>
    <row r="178" spans="1:10">
      <c r="A178" s="35" t="s">
        <v>26</v>
      </c>
      <c r="B178" s="36">
        <v>44307</v>
      </c>
      <c r="C178" s="1">
        <v>1</v>
      </c>
      <c r="D178" s="1">
        <v>125</v>
      </c>
      <c r="E178" s="1">
        <v>113</v>
      </c>
      <c r="F178" s="1" t="e">
        <f>NA()</f>
        <v>#N/A</v>
      </c>
      <c r="G178" s="1" t="e">
        <f>NA()</f>
        <v>#N/A</v>
      </c>
      <c r="H178" s="1" t="e">
        <f>NA()</f>
        <v>#N/A</v>
      </c>
      <c r="I178" s="1" t="e">
        <f>NA()</f>
        <v>#N/A</v>
      </c>
      <c r="J178" s="1" t="e">
        <f>NA()</f>
        <v>#N/A</v>
      </c>
    </row>
    <row r="179" spans="1:10">
      <c r="A179" s="35"/>
      <c r="B179" s="36"/>
      <c r="C179" s="1">
        <v>2</v>
      </c>
      <c r="D179" s="1">
        <v>107</v>
      </c>
      <c r="E179" s="1">
        <v>101</v>
      </c>
      <c r="F179" s="1" t="e">
        <f>NA()</f>
        <v>#N/A</v>
      </c>
      <c r="G179" s="1" t="e">
        <f>NA()</f>
        <v>#N/A</v>
      </c>
      <c r="H179" s="1" t="e">
        <f>NA()</f>
        <v>#N/A</v>
      </c>
      <c r="I179" s="1" t="e">
        <f>NA()</f>
        <v>#N/A</v>
      </c>
      <c r="J179" s="1" t="e">
        <f>NA()</f>
        <v>#N/A</v>
      </c>
    </row>
    <row r="180" spans="1:10">
      <c r="A180" s="35"/>
      <c r="B180" s="36"/>
      <c r="C180" s="1">
        <v>3</v>
      </c>
      <c r="D180" s="1">
        <v>120</v>
      </c>
      <c r="E180" s="1">
        <v>163</v>
      </c>
      <c r="F180" s="24">
        <v>111</v>
      </c>
      <c r="G180" s="1" t="e">
        <f>NA()</f>
        <v>#N/A</v>
      </c>
      <c r="H180" s="1" t="e">
        <f>NA()</f>
        <v>#N/A</v>
      </c>
      <c r="I180" s="1" t="e">
        <f>NA()</f>
        <v>#N/A</v>
      </c>
      <c r="J180" s="1" t="e">
        <f>NA()</f>
        <v>#N/A</v>
      </c>
    </row>
    <row r="181" spans="1:10">
      <c r="A181" s="35"/>
      <c r="B181" s="36"/>
      <c r="C181" s="1">
        <v>4</v>
      </c>
      <c r="D181" s="1">
        <v>123</v>
      </c>
      <c r="E181" s="1">
        <v>128</v>
      </c>
      <c r="F181" s="1">
        <v>143</v>
      </c>
      <c r="G181" s="1" t="e">
        <f>NA()</f>
        <v>#N/A</v>
      </c>
      <c r="H181" s="1" t="e">
        <f>NA()</f>
        <v>#N/A</v>
      </c>
      <c r="I181" s="1" t="e">
        <f>NA()</f>
        <v>#N/A</v>
      </c>
      <c r="J181" s="1" t="e">
        <f>NA()</f>
        <v>#N/A</v>
      </c>
    </row>
    <row r="182" spans="1:10">
      <c r="A182" s="35"/>
      <c r="B182" s="36"/>
      <c r="C182" s="1">
        <v>5</v>
      </c>
      <c r="D182" s="1">
        <v>97</v>
      </c>
      <c r="E182" s="1">
        <v>176</v>
      </c>
      <c r="F182" s="1">
        <v>127</v>
      </c>
      <c r="G182" s="1" t="e">
        <f>NA()</f>
        <v>#N/A</v>
      </c>
      <c r="H182" s="1" t="e">
        <f>NA()</f>
        <v>#N/A</v>
      </c>
      <c r="I182" s="1" t="e">
        <f>NA()</f>
        <v>#N/A</v>
      </c>
      <c r="J182" s="1" t="e">
        <f>NA()</f>
        <v>#N/A</v>
      </c>
    </row>
    <row r="183" spans="1:10">
      <c r="A183" s="35"/>
      <c r="B183" s="36"/>
      <c r="C183" s="1">
        <v>6</v>
      </c>
      <c r="D183" s="1">
        <v>134</v>
      </c>
      <c r="E183" s="1">
        <v>112</v>
      </c>
      <c r="F183" s="1">
        <v>102</v>
      </c>
      <c r="G183" s="1" t="e">
        <f>NA()</f>
        <v>#N/A</v>
      </c>
      <c r="H183" s="1" t="e">
        <f>NA()</f>
        <v>#N/A</v>
      </c>
      <c r="I183" s="1" t="e">
        <f>NA()</f>
        <v>#N/A</v>
      </c>
      <c r="J183" s="1" t="e">
        <f>NA()</f>
        <v>#N/A</v>
      </c>
    </row>
    <row r="184" spans="1:10">
      <c r="A184" s="35" t="s">
        <v>27</v>
      </c>
      <c r="B184" s="36">
        <v>44315</v>
      </c>
      <c r="C184" s="1">
        <v>1</v>
      </c>
      <c r="D184" s="1">
        <v>119</v>
      </c>
      <c r="E184" s="1">
        <v>102</v>
      </c>
      <c r="F184" s="1" t="e">
        <f>NA()</f>
        <v>#N/A</v>
      </c>
      <c r="G184" s="1" t="e">
        <f>NA()</f>
        <v>#N/A</v>
      </c>
      <c r="H184" s="1" t="e">
        <f>NA()</f>
        <v>#N/A</v>
      </c>
      <c r="I184" s="1" t="e">
        <f>NA()</f>
        <v>#N/A</v>
      </c>
      <c r="J184" s="1" t="e">
        <f>NA()</f>
        <v>#N/A</v>
      </c>
    </row>
    <row r="185" spans="1:10">
      <c r="A185" s="35"/>
      <c r="B185" s="36"/>
      <c r="C185" s="1">
        <v>2</v>
      </c>
      <c r="D185" s="1">
        <v>91</v>
      </c>
      <c r="E185" s="1">
        <v>99</v>
      </c>
      <c r="F185" s="1" t="e">
        <f>NA()</f>
        <v>#N/A</v>
      </c>
      <c r="G185" s="1" t="e">
        <f>NA()</f>
        <v>#N/A</v>
      </c>
      <c r="H185" s="1" t="e">
        <f>NA()</f>
        <v>#N/A</v>
      </c>
      <c r="I185" s="1" t="e">
        <f>NA()</f>
        <v>#N/A</v>
      </c>
      <c r="J185" s="1" t="e">
        <f>NA()</f>
        <v>#N/A</v>
      </c>
    </row>
    <row r="186" spans="1:10">
      <c r="A186" s="35"/>
      <c r="B186" s="36"/>
      <c r="C186" s="1">
        <v>3</v>
      </c>
      <c r="D186" s="1">
        <v>82</v>
      </c>
      <c r="E186" s="1">
        <v>116</v>
      </c>
      <c r="F186" s="1" t="e">
        <f>NA()</f>
        <v>#N/A</v>
      </c>
      <c r="G186" s="1" t="e">
        <f>NA()</f>
        <v>#N/A</v>
      </c>
      <c r="H186" s="1" t="e">
        <f>NA()</f>
        <v>#N/A</v>
      </c>
      <c r="I186" s="1" t="e">
        <f>NA()</f>
        <v>#N/A</v>
      </c>
      <c r="J186" s="1" t="e">
        <f>NA()</f>
        <v>#N/A</v>
      </c>
    </row>
    <row r="187" spans="1:10">
      <c r="A187" s="35"/>
      <c r="B187" s="36"/>
      <c r="C187" s="1">
        <v>4</v>
      </c>
      <c r="D187" s="1">
        <v>82</v>
      </c>
      <c r="E187" s="1">
        <v>122</v>
      </c>
      <c r="F187" s="1" t="e">
        <f>NA()</f>
        <v>#N/A</v>
      </c>
      <c r="G187" s="1" t="e">
        <f>NA()</f>
        <v>#N/A</v>
      </c>
      <c r="H187" s="1" t="e">
        <f>NA()</f>
        <v>#N/A</v>
      </c>
      <c r="I187" s="1" t="e">
        <f>NA()</f>
        <v>#N/A</v>
      </c>
      <c r="J187" s="1" t="e">
        <f>NA()</f>
        <v>#N/A</v>
      </c>
    </row>
    <row r="188" spans="1:10">
      <c r="A188" s="35"/>
      <c r="B188" s="36"/>
      <c r="C188" s="1">
        <v>5</v>
      </c>
      <c r="D188" s="1">
        <v>114</v>
      </c>
      <c r="E188" s="1">
        <v>102</v>
      </c>
      <c r="F188" s="1" t="e">
        <f>NA()</f>
        <v>#N/A</v>
      </c>
      <c r="G188" s="1" t="e">
        <f>NA()</f>
        <v>#N/A</v>
      </c>
      <c r="H188" s="1" t="e">
        <f>NA()</f>
        <v>#N/A</v>
      </c>
      <c r="I188" s="1" t="e">
        <f>NA()</f>
        <v>#N/A</v>
      </c>
      <c r="J188" s="1" t="e">
        <f>NA()</f>
        <v>#N/A</v>
      </c>
    </row>
    <row r="189" spans="1:10">
      <c r="A189" s="35" t="s">
        <v>28</v>
      </c>
      <c r="B189" s="36">
        <v>44322</v>
      </c>
      <c r="C189" s="1">
        <v>1</v>
      </c>
      <c r="D189" s="1">
        <v>127</v>
      </c>
      <c r="E189" s="1">
        <v>153</v>
      </c>
      <c r="F189" s="1" t="e">
        <f>NA()</f>
        <v>#N/A</v>
      </c>
      <c r="G189" s="1" t="e">
        <f>NA()</f>
        <v>#N/A</v>
      </c>
      <c r="H189" s="1" t="e">
        <f>NA()</f>
        <v>#N/A</v>
      </c>
      <c r="I189" s="1" t="e">
        <f>NA()</f>
        <v>#N/A</v>
      </c>
      <c r="J189" s="1" t="e">
        <f>NA()</f>
        <v>#N/A</v>
      </c>
    </row>
    <row r="190" spans="1:10">
      <c r="A190" s="35"/>
      <c r="B190" s="36"/>
      <c r="C190" s="1">
        <v>2</v>
      </c>
      <c r="D190" s="1">
        <v>182</v>
      </c>
      <c r="E190" s="1">
        <v>164</v>
      </c>
      <c r="F190" s="1" t="e">
        <f>NA()</f>
        <v>#N/A</v>
      </c>
      <c r="G190" s="1" t="e">
        <f>NA()</f>
        <v>#N/A</v>
      </c>
      <c r="H190" s="1" t="e">
        <f>NA()</f>
        <v>#N/A</v>
      </c>
      <c r="I190" s="1" t="e">
        <f>NA()</f>
        <v>#N/A</v>
      </c>
      <c r="J190" s="1" t="e">
        <f>NA()</f>
        <v>#N/A</v>
      </c>
    </row>
    <row r="191" spans="1:10">
      <c r="A191" s="35"/>
      <c r="B191" s="36"/>
      <c r="C191" s="1">
        <v>3</v>
      </c>
      <c r="D191" s="1">
        <v>142</v>
      </c>
      <c r="E191" s="1">
        <v>128</v>
      </c>
      <c r="F191" s="1" t="e">
        <f>NA()</f>
        <v>#N/A</v>
      </c>
      <c r="G191" s="1" t="e">
        <f>NA()</f>
        <v>#N/A</v>
      </c>
      <c r="H191" s="1" t="e">
        <f>NA()</f>
        <v>#N/A</v>
      </c>
      <c r="I191" s="1" t="e">
        <f>NA()</f>
        <v>#N/A</v>
      </c>
      <c r="J191" s="1" t="e">
        <f>NA()</f>
        <v>#N/A</v>
      </c>
    </row>
    <row r="192" spans="1:10">
      <c r="A192" s="35"/>
      <c r="B192" s="36"/>
      <c r="C192" s="1">
        <v>4</v>
      </c>
      <c r="D192" s="1">
        <v>158</v>
      </c>
      <c r="E192" s="1">
        <v>172</v>
      </c>
      <c r="F192" s="1" t="e">
        <f>NA()</f>
        <v>#N/A</v>
      </c>
      <c r="G192" s="1" t="e">
        <f>NA()</f>
        <v>#N/A</v>
      </c>
      <c r="H192" s="1" t="e">
        <f>NA()</f>
        <v>#N/A</v>
      </c>
      <c r="I192" s="1" t="e">
        <f>NA()</f>
        <v>#N/A</v>
      </c>
      <c r="J192" s="1" t="e">
        <f>NA()</f>
        <v>#N/A</v>
      </c>
    </row>
    <row r="193" spans="1:10">
      <c r="A193" s="35"/>
      <c r="B193" s="36"/>
      <c r="C193" s="1">
        <v>5</v>
      </c>
      <c r="D193" s="1">
        <v>155</v>
      </c>
      <c r="E193" s="1">
        <v>126</v>
      </c>
      <c r="F193" s="1" t="e">
        <f>NA()</f>
        <v>#N/A</v>
      </c>
      <c r="G193" s="1" t="e">
        <f>NA()</f>
        <v>#N/A</v>
      </c>
      <c r="H193" s="1" t="e">
        <f>NA()</f>
        <v>#N/A</v>
      </c>
      <c r="I193" s="1" t="e">
        <f>NA()</f>
        <v>#N/A</v>
      </c>
      <c r="J193" s="1" t="e">
        <f>NA()</f>
        <v>#N/A</v>
      </c>
    </row>
    <row r="194" spans="1:10">
      <c r="A194" s="40" t="s">
        <v>29</v>
      </c>
      <c r="B194" s="36">
        <v>44426</v>
      </c>
      <c r="C194" s="1">
        <v>1</v>
      </c>
      <c r="D194" s="1">
        <v>111</v>
      </c>
      <c r="E194" s="1">
        <v>108</v>
      </c>
      <c r="F194" s="1" t="e">
        <f>NA()</f>
        <v>#N/A</v>
      </c>
      <c r="G194" s="1" t="e">
        <f>NA()</f>
        <v>#N/A</v>
      </c>
      <c r="H194" s="1" t="e">
        <f>NA()</f>
        <v>#N/A</v>
      </c>
      <c r="I194" s="1" t="e">
        <f>NA()</f>
        <v>#N/A</v>
      </c>
      <c r="J194" s="1" t="e">
        <f>NA()</f>
        <v>#N/A</v>
      </c>
    </row>
    <row r="195" spans="1:10">
      <c r="A195" s="40"/>
      <c r="B195" s="36"/>
      <c r="C195" s="1">
        <v>2</v>
      </c>
      <c r="D195" s="1">
        <v>146</v>
      </c>
      <c r="E195" s="1">
        <v>159</v>
      </c>
      <c r="F195" s="1" t="e">
        <f>NA()</f>
        <v>#N/A</v>
      </c>
      <c r="G195" s="1" t="e">
        <f>NA()</f>
        <v>#N/A</v>
      </c>
      <c r="H195" s="1" t="e">
        <f>NA()</f>
        <v>#N/A</v>
      </c>
      <c r="I195" s="1" t="e">
        <f>NA()</f>
        <v>#N/A</v>
      </c>
      <c r="J195" s="1" t="e">
        <f>NA()</f>
        <v>#N/A</v>
      </c>
    </row>
    <row r="196" spans="1:10">
      <c r="A196" s="40"/>
      <c r="B196" s="36"/>
      <c r="C196" s="1">
        <v>3</v>
      </c>
      <c r="D196" s="1">
        <v>123</v>
      </c>
      <c r="E196" s="1">
        <v>141</v>
      </c>
      <c r="F196" s="1" t="e">
        <f>NA()</f>
        <v>#N/A</v>
      </c>
      <c r="G196" s="1" t="e">
        <f>NA()</f>
        <v>#N/A</v>
      </c>
      <c r="H196" s="1" t="e">
        <f>NA()</f>
        <v>#N/A</v>
      </c>
      <c r="I196" s="1" t="e">
        <f>NA()</f>
        <v>#N/A</v>
      </c>
      <c r="J196" s="1" t="e">
        <f>NA()</f>
        <v>#N/A</v>
      </c>
    </row>
    <row r="197" spans="1:10">
      <c r="A197" s="40"/>
      <c r="B197" s="36"/>
      <c r="C197" s="1">
        <v>4</v>
      </c>
      <c r="D197" s="1">
        <v>111</v>
      </c>
      <c r="E197" s="1">
        <v>137</v>
      </c>
      <c r="F197" s="1" t="e">
        <f>NA()</f>
        <v>#N/A</v>
      </c>
      <c r="G197" s="1" t="e">
        <f>NA()</f>
        <v>#N/A</v>
      </c>
      <c r="H197" s="1" t="e">
        <f>NA()</f>
        <v>#N/A</v>
      </c>
      <c r="I197" s="1" t="e">
        <f>NA()</f>
        <v>#N/A</v>
      </c>
      <c r="J197" s="1" t="e">
        <f>NA()</f>
        <v>#N/A</v>
      </c>
    </row>
    <row r="198" spans="1:10">
      <c r="A198" s="40"/>
      <c r="B198" s="36"/>
      <c r="C198" s="1">
        <v>5</v>
      </c>
      <c r="D198" s="1">
        <v>97</v>
      </c>
      <c r="E198" s="1">
        <v>153</v>
      </c>
      <c r="F198" s="1" t="e">
        <f>NA()</f>
        <v>#N/A</v>
      </c>
      <c r="G198" s="1" t="e">
        <f>NA()</f>
        <v>#N/A</v>
      </c>
      <c r="H198" s="1" t="e">
        <f>NA()</f>
        <v>#N/A</v>
      </c>
      <c r="I198" s="1" t="e">
        <f>NA()</f>
        <v>#N/A</v>
      </c>
      <c r="J198" s="1" t="e">
        <f>NA()</f>
        <v>#N/A</v>
      </c>
    </row>
    <row r="199" spans="1:10">
      <c r="A199" s="35" t="s">
        <v>30</v>
      </c>
      <c r="B199" s="36">
        <v>44441</v>
      </c>
      <c r="C199" s="1">
        <v>1</v>
      </c>
      <c r="D199" s="1">
        <v>134</v>
      </c>
      <c r="E199" s="1">
        <v>133</v>
      </c>
      <c r="F199" s="1" t="e">
        <f>NA()</f>
        <v>#N/A</v>
      </c>
      <c r="G199" s="1" t="e">
        <f>NA()</f>
        <v>#N/A</v>
      </c>
      <c r="H199" s="1" t="e">
        <f>NA()</f>
        <v>#N/A</v>
      </c>
      <c r="I199" s="1" t="e">
        <f>NA()</f>
        <v>#N/A</v>
      </c>
      <c r="J199" s="1" t="e">
        <f>NA()</f>
        <v>#N/A</v>
      </c>
    </row>
    <row r="200" spans="1:10">
      <c r="A200" s="35"/>
      <c r="B200" s="36"/>
      <c r="C200" s="1">
        <v>2</v>
      </c>
      <c r="D200" s="1">
        <v>79</v>
      </c>
      <c r="E200" s="1">
        <v>165</v>
      </c>
      <c r="F200" s="1" t="e">
        <f>NA()</f>
        <v>#N/A</v>
      </c>
      <c r="G200" s="1" t="e">
        <f>NA()</f>
        <v>#N/A</v>
      </c>
      <c r="H200" s="1" t="e">
        <f>NA()</f>
        <v>#N/A</v>
      </c>
      <c r="I200" s="1" t="e">
        <f>NA()</f>
        <v>#N/A</v>
      </c>
      <c r="J200" s="1" t="e">
        <f>NA()</f>
        <v>#N/A</v>
      </c>
    </row>
    <row r="201" spans="1:10">
      <c r="A201" s="35"/>
      <c r="B201" s="36"/>
      <c r="C201" s="1">
        <v>3</v>
      </c>
      <c r="D201" s="1">
        <v>103</v>
      </c>
      <c r="E201" s="1">
        <v>157</v>
      </c>
      <c r="F201" s="1" t="e">
        <f>NA()</f>
        <v>#N/A</v>
      </c>
      <c r="G201" s="1" t="e">
        <f>NA()</f>
        <v>#N/A</v>
      </c>
      <c r="H201" s="1" t="e">
        <f>NA()</f>
        <v>#N/A</v>
      </c>
      <c r="I201" s="1" t="e">
        <f>NA()</f>
        <v>#N/A</v>
      </c>
      <c r="J201" s="1" t="e">
        <f>NA()</f>
        <v>#N/A</v>
      </c>
    </row>
    <row r="202" spans="1:10">
      <c r="A202" s="35"/>
      <c r="B202" s="36"/>
      <c r="C202" s="1">
        <v>4</v>
      </c>
      <c r="D202" s="1">
        <v>113</v>
      </c>
      <c r="E202" s="1">
        <v>123</v>
      </c>
      <c r="F202" s="1" t="e">
        <f>NA()</f>
        <v>#N/A</v>
      </c>
      <c r="G202" s="1" t="e">
        <f>NA()</f>
        <v>#N/A</v>
      </c>
      <c r="H202" s="1" t="e">
        <f>NA()</f>
        <v>#N/A</v>
      </c>
      <c r="I202" s="1" t="e">
        <f>NA()</f>
        <v>#N/A</v>
      </c>
      <c r="J202" s="1" t="e">
        <f>NA()</f>
        <v>#N/A</v>
      </c>
    </row>
    <row r="203" spans="1:10">
      <c r="A203" s="35"/>
      <c r="B203" s="36"/>
      <c r="C203" s="1">
        <v>5</v>
      </c>
      <c r="D203" s="1">
        <v>111</v>
      </c>
      <c r="E203" s="1">
        <v>118</v>
      </c>
      <c r="F203" s="1" t="e">
        <f>NA()</f>
        <v>#N/A</v>
      </c>
      <c r="G203" s="1" t="e">
        <f>NA()</f>
        <v>#N/A</v>
      </c>
      <c r="H203" s="1" t="e">
        <f>NA()</f>
        <v>#N/A</v>
      </c>
      <c r="I203" s="1" t="e">
        <f>NA()</f>
        <v>#N/A</v>
      </c>
      <c r="J203" s="1" t="e">
        <f>NA()</f>
        <v>#N/A</v>
      </c>
    </row>
    <row r="204" spans="1:10">
      <c r="A204" s="34" t="s">
        <v>31</v>
      </c>
      <c r="B204" s="36">
        <v>44448</v>
      </c>
      <c r="C204" s="1">
        <v>1</v>
      </c>
      <c r="D204" s="1">
        <v>118</v>
      </c>
      <c r="E204" s="1">
        <v>122</v>
      </c>
      <c r="F204" s="1" t="e">
        <f>NA()</f>
        <v>#N/A</v>
      </c>
      <c r="G204" s="1" t="e">
        <f>NA()</f>
        <v>#N/A</v>
      </c>
      <c r="H204" s="1" t="e">
        <f>NA()</f>
        <v>#N/A</v>
      </c>
      <c r="I204" s="1" t="e">
        <f>NA()</f>
        <v>#N/A</v>
      </c>
      <c r="J204" s="1" t="e">
        <f>NA()</f>
        <v>#N/A</v>
      </c>
    </row>
    <row r="205" spans="1:10">
      <c r="A205" s="35"/>
      <c r="B205" s="36"/>
      <c r="C205" s="1">
        <v>2</v>
      </c>
      <c r="D205" s="1">
        <v>141</v>
      </c>
      <c r="E205" s="1">
        <v>146</v>
      </c>
      <c r="F205" s="1" t="e">
        <f>NA()</f>
        <v>#N/A</v>
      </c>
      <c r="G205" s="1" t="e">
        <f>NA()</f>
        <v>#N/A</v>
      </c>
      <c r="H205" s="1" t="e">
        <f>NA()</f>
        <v>#N/A</v>
      </c>
      <c r="I205" s="1" t="e">
        <f>NA()</f>
        <v>#N/A</v>
      </c>
      <c r="J205" s="1" t="e">
        <f>NA()</f>
        <v>#N/A</v>
      </c>
    </row>
    <row r="206" spans="1:10">
      <c r="A206" s="35"/>
      <c r="B206" s="36"/>
      <c r="C206" s="1">
        <v>3</v>
      </c>
      <c r="D206" s="1">
        <v>100</v>
      </c>
      <c r="E206" s="1">
        <v>130</v>
      </c>
      <c r="F206" s="1" t="e">
        <f>NA()</f>
        <v>#N/A</v>
      </c>
      <c r="G206" s="1" t="e">
        <f>NA()</f>
        <v>#N/A</v>
      </c>
      <c r="H206" s="1" t="e">
        <f>NA()</f>
        <v>#N/A</v>
      </c>
      <c r="I206" s="1" t="e">
        <f>NA()</f>
        <v>#N/A</v>
      </c>
      <c r="J206" s="1" t="e">
        <f>NA()</f>
        <v>#N/A</v>
      </c>
    </row>
    <row r="207" spans="1:10">
      <c r="A207" s="35"/>
      <c r="B207" s="36"/>
      <c r="C207" s="1">
        <v>4</v>
      </c>
      <c r="D207" s="1">
        <v>129</v>
      </c>
      <c r="E207" s="1">
        <v>142</v>
      </c>
      <c r="F207" s="1" t="e">
        <f>NA()</f>
        <v>#N/A</v>
      </c>
      <c r="G207" s="1" t="e">
        <f>NA()</f>
        <v>#N/A</v>
      </c>
      <c r="H207" s="1" t="e">
        <f>NA()</f>
        <v>#N/A</v>
      </c>
      <c r="I207" s="1" t="e">
        <f>NA()</f>
        <v>#N/A</v>
      </c>
      <c r="J207" s="1" t="e">
        <f>NA()</f>
        <v>#N/A</v>
      </c>
    </row>
    <row r="208" spans="1:10">
      <c r="A208" s="35"/>
      <c r="B208" s="36"/>
      <c r="C208" s="1">
        <v>5</v>
      </c>
      <c r="D208" s="1">
        <v>135</v>
      </c>
      <c r="E208" s="1">
        <v>144</v>
      </c>
      <c r="F208" s="1" t="e">
        <f>NA()</f>
        <v>#N/A</v>
      </c>
      <c r="G208" s="1" t="e">
        <f>NA()</f>
        <v>#N/A</v>
      </c>
      <c r="H208" s="1" t="e">
        <f>NA()</f>
        <v>#N/A</v>
      </c>
      <c r="I208" s="1" t="e">
        <f>NA()</f>
        <v>#N/A</v>
      </c>
      <c r="J208" s="1" t="e">
        <f>NA()</f>
        <v>#N/A</v>
      </c>
    </row>
    <row r="209" spans="1:10">
      <c r="A209" s="35"/>
      <c r="B209" s="36"/>
      <c r="C209" s="1">
        <v>6</v>
      </c>
      <c r="D209" s="1">
        <v>136</v>
      </c>
      <c r="E209" s="1">
        <v>131</v>
      </c>
      <c r="F209" s="1" t="e">
        <f>NA()</f>
        <v>#N/A</v>
      </c>
      <c r="G209" s="1" t="e">
        <f>NA()</f>
        <v>#N/A</v>
      </c>
      <c r="H209" s="1" t="e">
        <f>NA()</f>
        <v>#N/A</v>
      </c>
      <c r="I209" s="1" t="e">
        <f>NA()</f>
        <v>#N/A</v>
      </c>
      <c r="J209" s="1" t="e">
        <f>NA()</f>
        <v>#N/A</v>
      </c>
    </row>
    <row r="210" spans="1:10">
      <c r="A210" s="34" t="s">
        <v>32</v>
      </c>
      <c r="B210" s="36">
        <v>44468</v>
      </c>
      <c r="C210" s="1">
        <v>1</v>
      </c>
      <c r="D210" s="1">
        <v>84</v>
      </c>
      <c r="E210" s="1">
        <v>164</v>
      </c>
      <c r="F210" s="1" t="e">
        <f>NA()</f>
        <v>#N/A</v>
      </c>
      <c r="G210" s="1" t="e">
        <f>NA()</f>
        <v>#N/A</v>
      </c>
      <c r="H210" s="1" t="e">
        <f>NA()</f>
        <v>#N/A</v>
      </c>
      <c r="I210" s="1" t="e">
        <f>NA()</f>
        <v>#N/A</v>
      </c>
      <c r="J210" s="1" t="e">
        <f>NA()</f>
        <v>#N/A</v>
      </c>
    </row>
    <row r="211" spans="1:10">
      <c r="A211" s="35"/>
      <c r="B211" s="36"/>
      <c r="C211" s="1">
        <v>2</v>
      </c>
      <c r="D211" s="1">
        <v>87</v>
      </c>
      <c r="E211" s="1">
        <v>120</v>
      </c>
      <c r="F211" s="1" t="e">
        <f>NA()</f>
        <v>#N/A</v>
      </c>
      <c r="G211" s="1" t="e">
        <f>NA()</f>
        <v>#N/A</v>
      </c>
      <c r="H211" s="1" t="e">
        <f>NA()</f>
        <v>#N/A</v>
      </c>
      <c r="I211" s="1" t="e">
        <f>NA()</f>
        <v>#N/A</v>
      </c>
      <c r="J211" s="1" t="e">
        <f>NA()</f>
        <v>#N/A</v>
      </c>
    </row>
    <row r="212" spans="1:10">
      <c r="A212" s="35"/>
      <c r="B212" s="36"/>
      <c r="C212" s="1">
        <v>3</v>
      </c>
      <c r="D212" s="1">
        <v>124</v>
      </c>
      <c r="E212" s="1">
        <v>155</v>
      </c>
      <c r="F212" s="1" t="e">
        <f>NA()</f>
        <v>#N/A</v>
      </c>
      <c r="G212" s="1" t="e">
        <f>NA()</f>
        <v>#N/A</v>
      </c>
      <c r="H212" s="1" t="e">
        <f>NA()</f>
        <v>#N/A</v>
      </c>
      <c r="I212" s="1" t="e">
        <f>NA()</f>
        <v>#N/A</v>
      </c>
      <c r="J212" s="1" t="e">
        <f>NA()</f>
        <v>#N/A</v>
      </c>
    </row>
    <row r="213" spans="1:10">
      <c r="A213" s="35"/>
      <c r="B213" s="36"/>
      <c r="C213" s="1">
        <v>4</v>
      </c>
      <c r="D213" s="1">
        <v>110</v>
      </c>
      <c r="E213" s="1">
        <v>130</v>
      </c>
      <c r="F213" s="1" t="e">
        <f>NA()</f>
        <v>#N/A</v>
      </c>
      <c r="G213" s="1" t="e">
        <f>NA()</f>
        <v>#N/A</v>
      </c>
      <c r="H213" s="1" t="e">
        <f>NA()</f>
        <v>#N/A</v>
      </c>
      <c r="I213" s="1" t="e">
        <f>NA()</f>
        <v>#N/A</v>
      </c>
      <c r="J213" s="1" t="e">
        <f>NA()</f>
        <v>#N/A</v>
      </c>
    </row>
    <row r="214" spans="1:10">
      <c r="A214" s="35"/>
      <c r="B214" s="36"/>
      <c r="C214" s="1">
        <v>5</v>
      </c>
      <c r="D214" s="1">
        <v>107</v>
      </c>
      <c r="E214" s="1">
        <v>120</v>
      </c>
      <c r="F214" s="1" t="e">
        <f>NA()</f>
        <v>#N/A</v>
      </c>
      <c r="G214" s="1" t="e">
        <f>NA()</f>
        <v>#N/A</v>
      </c>
      <c r="H214" s="1" t="e">
        <f>NA()</f>
        <v>#N/A</v>
      </c>
      <c r="I214" s="1" t="e">
        <f>NA()</f>
        <v>#N/A</v>
      </c>
      <c r="J214" s="1" t="e">
        <f>NA()</f>
        <v>#N/A</v>
      </c>
    </row>
    <row r="215" spans="1:10">
      <c r="A215" s="34" t="s">
        <v>33</v>
      </c>
      <c r="B215" s="36">
        <v>44477</v>
      </c>
      <c r="C215" s="1">
        <v>1</v>
      </c>
      <c r="D215" s="1">
        <v>130</v>
      </c>
      <c r="E215" s="1">
        <v>147</v>
      </c>
      <c r="F215" s="1" t="e">
        <f>NA()</f>
        <v>#N/A</v>
      </c>
      <c r="G215" s="1" t="e">
        <f>NA()</f>
        <v>#N/A</v>
      </c>
      <c r="H215" s="1" t="e">
        <f>NA()</f>
        <v>#N/A</v>
      </c>
      <c r="I215" s="1" t="e">
        <f>NA()</f>
        <v>#N/A</v>
      </c>
      <c r="J215" s="1" t="e">
        <f>NA()</f>
        <v>#N/A</v>
      </c>
    </row>
    <row r="216" spans="1:10">
      <c r="A216" s="35"/>
      <c r="B216" s="36"/>
      <c r="C216" s="1">
        <v>2</v>
      </c>
      <c r="D216" s="1">
        <v>110</v>
      </c>
      <c r="E216" s="1">
        <v>132</v>
      </c>
      <c r="F216" s="1" t="e">
        <f>NA()</f>
        <v>#N/A</v>
      </c>
      <c r="G216" s="1" t="e">
        <f>NA()</f>
        <v>#N/A</v>
      </c>
      <c r="H216" s="1" t="e">
        <f>NA()</f>
        <v>#N/A</v>
      </c>
      <c r="I216" s="1" t="e">
        <f>NA()</f>
        <v>#N/A</v>
      </c>
      <c r="J216" s="1" t="e">
        <f>NA()</f>
        <v>#N/A</v>
      </c>
    </row>
    <row r="217" spans="1:10">
      <c r="A217" s="35"/>
      <c r="B217" s="36"/>
      <c r="C217" s="1">
        <v>3</v>
      </c>
      <c r="D217" s="1">
        <v>93</v>
      </c>
      <c r="E217" s="1">
        <v>133</v>
      </c>
      <c r="F217" s="1" t="e">
        <f>NA()</f>
        <v>#N/A</v>
      </c>
      <c r="G217" s="1" t="e">
        <f>NA()</f>
        <v>#N/A</v>
      </c>
      <c r="H217" s="1" t="e">
        <f>NA()</f>
        <v>#N/A</v>
      </c>
      <c r="I217" s="1" t="e">
        <f>NA()</f>
        <v>#N/A</v>
      </c>
      <c r="J217" s="1" t="e">
        <f>NA()</f>
        <v>#N/A</v>
      </c>
    </row>
    <row r="218" spans="1:10">
      <c r="A218" s="35"/>
      <c r="B218" s="36"/>
      <c r="C218" s="1">
        <v>4</v>
      </c>
      <c r="D218" s="1">
        <v>155</v>
      </c>
      <c r="E218" s="1">
        <v>129</v>
      </c>
      <c r="F218" s="1" t="e">
        <f>NA()</f>
        <v>#N/A</v>
      </c>
      <c r="G218" s="1" t="e">
        <f>NA()</f>
        <v>#N/A</v>
      </c>
      <c r="H218" s="1" t="e">
        <f>NA()</f>
        <v>#N/A</v>
      </c>
      <c r="I218" s="1" t="e">
        <f>NA()</f>
        <v>#N/A</v>
      </c>
      <c r="J218" s="1" t="e">
        <f>NA()</f>
        <v>#N/A</v>
      </c>
    </row>
    <row r="219" spans="1:10">
      <c r="A219" s="35"/>
      <c r="B219" s="36"/>
      <c r="C219" s="1">
        <v>5</v>
      </c>
      <c r="D219" s="1">
        <v>123</v>
      </c>
      <c r="E219" s="1">
        <v>144</v>
      </c>
      <c r="F219" s="1" t="e">
        <f>NA()</f>
        <v>#N/A</v>
      </c>
      <c r="G219" s="1" t="e">
        <f>NA()</f>
        <v>#N/A</v>
      </c>
      <c r="H219" s="1" t="e">
        <f>NA()</f>
        <v>#N/A</v>
      </c>
      <c r="I219" s="1" t="e">
        <f>NA()</f>
        <v>#N/A</v>
      </c>
      <c r="J219" s="1" t="e">
        <f>NA()</f>
        <v>#N/A</v>
      </c>
    </row>
    <row r="220" spans="1:10">
      <c r="A220" s="34" t="s">
        <v>34</v>
      </c>
      <c r="B220" s="36">
        <v>44484</v>
      </c>
      <c r="C220" s="1">
        <v>1</v>
      </c>
      <c r="D220" s="1">
        <v>91</v>
      </c>
      <c r="E220" s="1">
        <v>147</v>
      </c>
      <c r="F220" s="1" t="e">
        <f>NA()</f>
        <v>#N/A</v>
      </c>
      <c r="G220" s="1" t="e">
        <f>NA()</f>
        <v>#N/A</v>
      </c>
      <c r="H220" s="1" t="e">
        <f>NA()</f>
        <v>#N/A</v>
      </c>
      <c r="I220" s="1" t="e">
        <f>NA()</f>
        <v>#N/A</v>
      </c>
      <c r="J220" s="1" t="e">
        <f>NA()</f>
        <v>#N/A</v>
      </c>
    </row>
    <row r="221" spans="1:10">
      <c r="A221" s="35"/>
      <c r="B221" s="36"/>
      <c r="C221" s="1">
        <v>2</v>
      </c>
      <c r="D221" s="1">
        <v>154</v>
      </c>
      <c r="E221" s="1">
        <v>133</v>
      </c>
      <c r="F221" s="1" t="e">
        <f>NA()</f>
        <v>#N/A</v>
      </c>
      <c r="G221" s="1" t="e">
        <f>NA()</f>
        <v>#N/A</v>
      </c>
      <c r="H221" s="1" t="e">
        <f>NA()</f>
        <v>#N/A</v>
      </c>
      <c r="I221" s="1" t="e">
        <f>NA()</f>
        <v>#N/A</v>
      </c>
      <c r="J221" s="1" t="e">
        <f>NA()</f>
        <v>#N/A</v>
      </c>
    </row>
    <row r="222" spans="1:10">
      <c r="A222" s="35"/>
      <c r="B222" s="36"/>
      <c r="C222" s="1">
        <v>3</v>
      </c>
      <c r="D222" s="1">
        <v>126</v>
      </c>
      <c r="E222" s="1">
        <v>136</v>
      </c>
      <c r="F222" s="1" t="e">
        <f>NA()</f>
        <v>#N/A</v>
      </c>
      <c r="G222" s="1" t="e">
        <f>NA()</f>
        <v>#N/A</v>
      </c>
      <c r="H222" s="1" t="e">
        <f>NA()</f>
        <v>#N/A</v>
      </c>
      <c r="I222" s="1" t="e">
        <f>NA()</f>
        <v>#N/A</v>
      </c>
      <c r="J222" s="1" t="e">
        <f>NA()</f>
        <v>#N/A</v>
      </c>
    </row>
    <row r="223" spans="1:10">
      <c r="A223" s="35"/>
      <c r="B223" s="36"/>
      <c r="C223" s="1">
        <v>4</v>
      </c>
      <c r="D223" s="1">
        <v>100</v>
      </c>
      <c r="E223" s="1">
        <v>119</v>
      </c>
      <c r="F223" s="1" t="e">
        <f>NA()</f>
        <v>#N/A</v>
      </c>
      <c r="G223" s="1" t="e">
        <f>NA()</f>
        <v>#N/A</v>
      </c>
      <c r="H223" s="1" t="e">
        <f>NA()</f>
        <v>#N/A</v>
      </c>
      <c r="I223" s="1" t="e">
        <f>NA()</f>
        <v>#N/A</v>
      </c>
      <c r="J223" s="1" t="e">
        <f>NA()</f>
        <v>#N/A</v>
      </c>
    </row>
    <row r="224" spans="1:10">
      <c r="A224" s="35"/>
      <c r="B224" s="36"/>
      <c r="C224" s="1">
        <v>5</v>
      </c>
      <c r="D224" s="1">
        <v>138</v>
      </c>
      <c r="E224" s="1">
        <v>151</v>
      </c>
      <c r="F224" s="1" t="e">
        <f>NA()</f>
        <v>#N/A</v>
      </c>
      <c r="G224" s="1" t="e">
        <f>NA()</f>
        <v>#N/A</v>
      </c>
      <c r="H224" s="1" t="e">
        <f>NA()</f>
        <v>#N/A</v>
      </c>
      <c r="I224" s="1" t="e">
        <f>NA()</f>
        <v>#N/A</v>
      </c>
      <c r="J224" s="1" t="e">
        <f>NA()</f>
        <v>#N/A</v>
      </c>
    </row>
    <row r="225" spans="1:10">
      <c r="A225" s="34" t="s">
        <v>35</v>
      </c>
      <c r="B225" s="36">
        <v>44490</v>
      </c>
      <c r="C225" s="1">
        <v>1</v>
      </c>
      <c r="D225" s="1">
        <v>78</v>
      </c>
      <c r="E225" s="1">
        <v>112</v>
      </c>
      <c r="F225" s="1" t="e">
        <f>NA()</f>
        <v>#N/A</v>
      </c>
      <c r="G225" s="1" t="e">
        <f>NA()</f>
        <v>#N/A</v>
      </c>
      <c r="H225" s="1" t="e">
        <f>NA()</f>
        <v>#N/A</v>
      </c>
      <c r="I225" s="1" t="e">
        <f>NA()</f>
        <v>#N/A</v>
      </c>
      <c r="J225" s="1" t="e">
        <f>NA()</f>
        <v>#N/A</v>
      </c>
    </row>
    <row r="226" spans="1:10">
      <c r="A226" s="35"/>
      <c r="B226" s="36"/>
      <c r="C226" s="1">
        <v>2</v>
      </c>
      <c r="D226" s="1">
        <v>132</v>
      </c>
      <c r="E226" s="1">
        <v>138</v>
      </c>
      <c r="F226" s="1" t="e">
        <f>NA()</f>
        <v>#N/A</v>
      </c>
      <c r="G226" s="1" t="e">
        <f>NA()</f>
        <v>#N/A</v>
      </c>
      <c r="H226" s="1" t="e">
        <f>NA()</f>
        <v>#N/A</v>
      </c>
      <c r="I226" s="1" t="e">
        <f>NA()</f>
        <v>#N/A</v>
      </c>
      <c r="J226" s="1" t="e">
        <f>NA()</f>
        <v>#N/A</v>
      </c>
    </row>
    <row r="227" spans="1:10">
      <c r="A227" s="35"/>
      <c r="B227" s="36"/>
      <c r="C227" s="1">
        <v>3</v>
      </c>
      <c r="D227" s="1">
        <v>122</v>
      </c>
      <c r="E227" s="1">
        <v>126</v>
      </c>
      <c r="F227" s="1" t="e">
        <f>NA()</f>
        <v>#N/A</v>
      </c>
      <c r="G227" s="1" t="e">
        <f>NA()</f>
        <v>#N/A</v>
      </c>
      <c r="H227" s="1" t="e">
        <f>NA()</f>
        <v>#N/A</v>
      </c>
      <c r="I227" s="1" t="e">
        <f>NA()</f>
        <v>#N/A</v>
      </c>
      <c r="J227" s="1" t="e">
        <f>NA()</f>
        <v>#N/A</v>
      </c>
    </row>
    <row r="228" spans="1:10">
      <c r="A228" s="35"/>
      <c r="B228" s="36"/>
      <c r="C228" s="1">
        <v>4</v>
      </c>
      <c r="D228" s="1">
        <v>108</v>
      </c>
      <c r="E228" s="1">
        <v>106</v>
      </c>
      <c r="F228" s="1" t="e">
        <f>NA()</f>
        <v>#N/A</v>
      </c>
      <c r="G228" s="1" t="e">
        <f>NA()</f>
        <v>#N/A</v>
      </c>
      <c r="H228" s="1" t="e">
        <f>NA()</f>
        <v>#N/A</v>
      </c>
      <c r="I228" s="1" t="e">
        <f>NA()</f>
        <v>#N/A</v>
      </c>
      <c r="J228" s="1" t="e">
        <f>NA()</f>
        <v>#N/A</v>
      </c>
    </row>
    <row r="229" spans="1:10">
      <c r="A229" s="35"/>
      <c r="B229" s="36"/>
      <c r="C229" s="1">
        <v>5</v>
      </c>
      <c r="D229" s="1">
        <v>141</v>
      </c>
      <c r="E229" s="1">
        <v>105</v>
      </c>
      <c r="F229" s="1" t="e">
        <f>NA()</f>
        <v>#N/A</v>
      </c>
      <c r="G229" s="1" t="e">
        <f>NA()</f>
        <v>#N/A</v>
      </c>
      <c r="H229" s="1" t="e">
        <f>NA()</f>
        <v>#N/A</v>
      </c>
      <c r="I229" s="1" t="e">
        <f>NA()</f>
        <v>#N/A</v>
      </c>
      <c r="J229" s="1" t="e">
        <f>NA()</f>
        <v>#N/A</v>
      </c>
    </row>
    <row r="230" spans="1:10">
      <c r="A230" s="34" t="s">
        <v>36</v>
      </c>
      <c r="B230" s="36">
        <v>44496</v>
      </c>
      <c r="C230" s="1">
        <v>1</v>
      </c>
      <c r="D230" s="1">
        <v>117</v>
      </c>
      <c r="E230" s="1">
        <v>137</v>
      </c>
      <c r="F230" s="1" t="e">
        <f>NA()</f>
        <v>#N/A</v>
      </c>
      <c r="G230" s="1" t="e">
        <f>NA()</f>
        <v>#N/A</v>
      </c>
      <c r="H230" s="1" t="e">
        <f>NA()</f>
        <v>#N/A</v>
      </c>
      <c r="I230" s="1" t="e">
        <f>NA()</f>
        <v>#N/A</v>
      </c>
      <c r="J230" s="1" t="e">
        <f>NA()</f>
        <v>#N/A</v>
      </c>
    </row>
    <row r="231" spans="1:10">
      <c r="A231" s="35"/>
      <c r="B231" s="36"/>
      <c r="C231" s="1">
        <v>2</v>
      </c>
      <c r="D231" s="1">
        <v>107</v>
      </c>
      <c r="E231" s="1">
        <v>133</v>
      </c>
      <c r="F231" s="1" t="e">
        <f>NA()</f>
        <v>#N/A</v>
      </c>
      <c r="G231" s="1" t="e">
        <f>NA()</f>
        <v>#N/A</v>
      </c>
      <c r="H231" s="1" t="e">
        <f>NA()</f>
        <v>#N/A</v>
      </c>
      <c r="I231" s="1" t="e">
        <f>NA()</f>
        <v>#N/A</v>
      </c>
      <c r="J231" s="1" t="e">
        <f>NA()</f>
        <v>#N/A</v>
      </c>
    </row>
    <row r="232" spans="1:10">
      <c r="A232" s="35"/>
      <c r="B232" s="36"/>
      <c r="C232" s="1">
        <v>3</v>
      </c>
      <c r="D232" s="1">
        <v>129</v>
      </c>
      <c r="E232" s="1">
        <v>126</v>
      </c>
      <c r="F232" s="1" t="e">
        <f>NA()</f>
        <v>#N/A</v>
      </c>
      <c r="G232" s="1" t="e">
        <f>NA()</f>
        <v>#N/A</v>
      </c>
      <c r="H232" s="1" t="e">
        <f>NA()</f>
        <v>#N/A</v>
      </c>
      <c r="I232" s="1" t="e">
        <f>NA()</f>
        <v>#N/A</v>
      </c>
      <c r="J232" s="1" t="e">
        <f>NA()</f>
        <v>#N/A</v>
      </c>
    </row>
    <row r="233" spans="1:10">
      <c r="A233" s="35"/>
      <c r="B233" s="36"/>
      <c r="C233" s="1">
        <v>4</v>
      </c>
      <c r="D233" s="1">
        <v>135</v>
      </c>
      <c r="E233" s="1">
        <v>160</v>
      </c>
      <c r="F233" s="1" t="e">
        <f>NA()</f>
        <v>#N/A</v>
      </c>
      <c r="G233" s="1" t="e">
        <f>NA()</f>
        <v>#N/A</v>
      </c>
      <c r="H233" s="1" t="e">
        <f>NA()</f>
        <v>#N/A</v>
      </c>
      <c r="I233" s="1" t="e">
        <f>NA()</f>
        <v>#N/A</v>
      </c>
      <c r="J233" s="1" t="e">
        <f>NA()</f>
        <v>#N/A</v>
      </c>
    </row>
    <row r="234" spans="1:10">
      <c r="A234" s="35"/>
      <c r="B234" s="36"/>
      <c r="C234" s="1">
        <v>5</v>
      </c>
      <c r="D234" s="1">
        <v>127</v>
      </c>
      <c r="E234" s="1">
        <v>111</v>
      </c>
      <c r="F234" s="1" t="e">
        <f>NA()</f>
        <v>#N/A</v>
      </c>
      <c r="G234" s="1" t="e">
        <f>NA()</f>
        <v>#N/A</v>
      </c>
      <c r="H234" s="1" t="e">
        <f>NA()</f>
        <v>#N/A</v>
      </c>
      <c r="I234" s="1" t="e">
        <f>NA()</f>
        <v>#N/A</v>
      </c>
      <c r="J234" s="1" t="e">
        <f>NA()</f>
        <v>#N/A</v>
      </c>
    </row>
    <row r="235" spans="1:10">
      <c r="A235" s="34" t="s">
        <v>37</v>
      </c>
      <c r="B235" s="36">
        <v>44505</v>
      </c>
      <c r="C235" s="1">
        <v>1</v>
      </c>
      <c r="D235" s="1">
        <v>89</v>
      </c>
      <c r="E235" s="1" t="e">
        <f>NA()</f>
        <v>#N/A</v>
      </c>
      <c r="F235" s="1" t="e">
        <f>NA()</f>
        <v>#N/A</v>
      </c>
      <c r="G235" s="1" t="e">
        <f>NA()</f>
        <v>#N/A</v>
      </c>
      <c r="H235" s="1" t="e">
        <f>NA()</f>
        <v>#N/A</v>
      </c>
      <c r="I235" s="1" t="e">
        <f>NA()</f>
        <v>#N/A</v>
      </c>
      <c r="J235" s="1" t="e">
        <f>NA()</f>
        <v>#N/A</v>
      </c>
    </row>
    <row r="236" spans="1:10">
      <c r="A236" s="35"/>
      <c r="B236" s="36"/>
      <c r="C236" s="1">
        <v>2</v>
      </c>
      <c r="D236" s="1">
        <v>137</v>
      </c>
      <c r="E236" s="1" t="e">
        <f>NA()</f>
        <v>#N/A</v>
      </c>
      <c r="F236" s="1" t="e">
        <f>NA()</f>
        <v>#N/A</v>
      </c>
      <c r="G236" s="1" t="e">
        <f>NA()</f>
        <v>#N/A</v>
      </c>
      <c r="H236" s="1" t="e">
        <f>NA()</f>
        <v>#N/A</v>
      </c>
      <c r="I236" s="1" t="e">
        <f>NA()</f>
        <v>#N/A</v>
      </c>
      <c r="J236" s="1" t="e">
        <f>NA()</f>
        <v>#N/A</v>
      </c>
    </row>
    <row r="237" spans="1:10">
      <c r="A237" s="35"/>
      <c r="B237" s="36"/>
      <c r="C237" s="1">
        <v>3</v>
      </c>
      <c r="D237" s="1">
        <v>102</v>
      </c>
      <c r="E237" s="1" t="e">
        <f>NA()</f>
        <v>#N/A</v>
      </c>
      <c r="F237" s="1" t="e">
        <f>NA()</f>
        <v>#N/A</v>
      </c>
      <c r="G237" s="1" t="e">
        <f>NA()</f>
        <v>#N/A</v>
      </c>
      <c r="H237" s="1" t="e">
        <f>NA()</f>
        <v>#N/A</v>
      </c>
      <c r="I237" s="1" t="e">
        <f>NA()</f>
        <v>#N/A</v>
      </c>
      <c r="J237" s="1" t="e">
        <f>NA()</f>
        <v>#N/A</v>
      </c>
    </row>
    <row r="238" spans="1:10">
      <c r="A238" s="35"/>
      <c r="B238" s="36"/>
      <c r="C238" s="1">
        <v>4</v>
      </c>
      <c r="D238" s="1">
        <v>111</v>
      </c>
      <c r="E238" s="1" t="e">
        <f>NA()</f>
        <v>#N/A</v>
      </c>
      <c r="F238" s="1" t="e">
        <f>NA()</f>
        <v>#N/A</v>
      </c>
      <c r="G238" s="1" t="e">
        <f>NA()</f>
        <v>#N/A</v>
      </c>
      <c r="H238" s="1" t="e">
        <f>NA()</f>
        <v>#N/A</v>
      </c>
      <c r="I238" s="1" t="e">
        <f>NA()</f>
        <v>#N/A</v>
      </c>
      <c r="J238" s="1" t="e">
        <f>NA()</f>
        <v>#N/A</v>
      </c>
    </row>
    <row r="239" spans="1:10">
      <c r="A239" s="35"/>
      <c r="B239" s="36"/>
      <c r="C239" s="1">
        <v>5</v>
      </c>
      <c r="D239" s="1">
        <v>130</v>
      </c>
      <c r="E239" s="1" t="e">
        <f>NA()</f>
        <v>#N/A</v>
      </c>
      <c r="F239" s="1" t="e">
        <f>NA()</f>
        <v>#N/A</v>
      </c>
      <c r="G239" s="1" t="e">
        <f>NA()</f>
        <v>#N/A</v>
      </c>
      <c r="H239" s="1" t="e">
        <f>NA()</f>
        <v>#N/A</v>
      </c>
      <c r="I239" s="1" t="e">
        <f>NA()</f>
        <v>#N/A</v>
      </c>
      <c r="J239" s="1" t="e">
        <f>NA()</f>
        <v>#N/A</v>
      </c>
    </row>
    <row r="240" spans="1:10">
      <c r="A240" s="34" t="s">
        <v>38</v>
      </c>
      <c r="B240" s="36">
        <v>44511</v>
      </c>
      <c r="C240" s="1">
        <v>1</v>
      </c>
      <c r="D240" s="1">
        <v>99</v>
      </c>
      <c r="E240" s="1">
        <v>142</v>
      </c>
      <c r="F240" s="1" t="e">
        <f>NA()</f>
        <v>#N/A</v>
      </c>
      <c r="G240" s="1" t="e">
        <f>NA()</f>
        <v>#N/A</v>
      </c>
      <c r="H240" s="1" t="e">
        <f>NA()</f>
        <v>#N/A</v>
      </c>
      <c r="I240" s="1" t="e">
        <f>NA()</f>
        <v>#N/A</v>
      </c>
      <c r="J240" s="1" t="e">
        <f>NA()</f>
        <v>#N/A</v>
      </c>
    </row>
    <row r="241" spans="1:12">
      <c r="A241" s="35"/>
      <c r="B241" s="36"/>
      <c r="C241" s="1">
        <v>2</v>
      </c>
      <c r="D241" s="1">
        <v>135</v>
      </c>
      <c r="E241" s="1">
        <v>127</v>
      </c>
      <c r="F241" s="1" t="e">
        <f>NA()</f>
        <v>#N/A</v>
      </c>
      <c r="G241" s="1" t="e">
        <f>NA()</f>
        <v>#N/A</v>
      </c>
      <c r="H241" s="1" t="e">
        <f>NA()</f>
        <v>#N/A</v>
      </c>
      <c r="I241" s="1" t="e">
        <f>NA()</f>
        <v>#N/A</v>
      </c>
      <c r="J241" s="1" t="e">
        <f>NA()</f>
        <v>#N/A</v>
      </c>
    </row>
    <row r="242" spans="1:12">
      <c r="A242" s="35"/>
      <c r="B242" s="36"/>
      <c r="C242" s="1">
        <v>3</v>
      </c>
      <c r="D242" s="1">
        <v>123</v>
      </c>
      <c r="E242" s="1">
        <v>101</v>
      </c>
      <c r="F242" s="1" t="e">
        <f>NA()</f>
        <v>#N/A</v>
      </c>
      <c r="G242" s="1" t="e">
        <f>NA()</f>
        <v>#N/A</v>
      </c>
      <c r="H242" s="1" t="e">
        <f>NA()</f>
        <v>#N/A</v>
      </c>
      <c r="I242" s="1" t="e">
        <f>NA()</f>
        <v>#N/A</v>
      </c>
      <c r="J242" s="1" t="e">
        <f>NA()</f>
        <v>#N/A</v>
      </c>
    </row>
    <row r="243" spans="1:12">
      <c r="A243" s="35"/>
      <c r="B243" s="36"/>
      <c r="C243" s="1">
        <v>4</v>
      </c>
      <c r="D243" s="1">
        <v>131</v>
      </c>
      <c r="E243" s="1">
        <v>142</v>
      </c>
      <c r="F243" s="1" t="e">
        <f>NA()</f>
        <v>#N/A</v>
      </c>
      <c r="G243" s="1" t="e">
        <f>NA()</f>
        <v>#N/A</v>
      </c>
      <c r="H243" s="1" t="e">
        <f>NA()</f>
        <v>#N/A</v>
      </c>
      <c r="I243" s="1" t="e">
        <f>NA()</f>
        <v>#N/A</v>
      </c>
      <c r="J243" s="1" t="e">
        <f>NA()</f>
        <v>#N/A</v>
      </c>
    </row>
    <row r="244" spans="1:12">
      <c r="A244" s="35"/>
      <c r="B244" s="36"/>
      <c r="C244" s="1">
        <v>5</v>
      </c>
      <c r="D244" s="1">
        <v>110</v>
      </c>
      <c r="E244" s="1">
        <v>151</v>
      </c>
      <c r="F244" s="1" t="e">
        <f>NA()</f>
        <v>#N/A</v>
      </c>
      <c r="G244" s="1" t="e">
        <f>NA()</f>
        <v>#N/A</v>
      </c>
      <c r="H244" s="1" t="e">
        <f>NA()</f>
        <v>#N/A</v>
      </c>
      <c r="I244" s="1" t="e">
        <f>NA()</f>
        <v>#N/A</v>
      </c>
      <c r="J244" s="1" t="e">
        <f>NA()</f>
        <v>#N/A</v>
      </c>
      <c r="L244" s="22"/>
    </row>
    <row r="245" spans="1:12">
      <c r="A245" s="34" t="s">
        <v>39</v>
      </c>
      <c r="B245" s="36">
        <v>44533</v>
      </c>
      <c r="C245" s="1">
        <v>1</v>
      </c>
      <c r="D245" s="1">
        <v>110</v>
      </c>
      <c r="E245" s="1" t="e">
        <f>NA()</f>
        <v>#N/A</v>
      </c>
      <c r="F245" s="1" t="e">
        <f>NA()</f>
        <v>#N/A</v>
      </c>
      <c r="G245" s="1" t="e">
        <f>NA()</f>
        <v>#N/A</v>
      </c>
      <c r="H245" s="1" t="e">
        <f>NA()</f>
        <v>#N/A</v>
      </c>
      <c r="I245" s="1" t="e">
        <f>NA()</f>
        <v>#N/A</v>
      </c>
      <c r="J245" s="1" t="e">
        <f>NA()</f>
        <v>#N/A</v>
      </c>
    </row>
    <row r="246" spans="1:12">
      <c r="A246" s="35"/>
      <c r="B246" s="36"/>
      <c r="C246" s="1">
        <v>2</v>
      </c>
      <c r="D246" s="1">
        <v>169</v>
      </c>
      <c r="E246" s="1" t="e">
        <f>NA()</f>
        <v>#N/A</v>
      </c>
      <c r="F246" s="1" t="e">
        <f>NA()</f>
        <v>#N/A</v>
      </c>
      <c r="G246" s="1" t="e">
        <f>NA()</f>
        <v>#N/A</v>
      </c>
      <c r="H246" s="1" t="e">
        <f>NA()</f>
        <v>#N/A</v>
      </c>
      <c r="I246" s="1" t="e">
        <f>NA()</f>
        <v>#N/A</v>
      </c>
      <c r="J246" s="1" t="e">
        <f>NA()</f>
        <v>#N/A</v>
      </c>
    </row>
    <row r="247" spans="1:12">
      <c r="A247" s="35"/>
      <c r="B247" s="36"/>
      <c r="C247" s="1">
        <v>3</v>
      </c>
      <c r="D247" s="1">
        <v>98</v>
      </c>
      <c r="E247" s="1" t="e">
        <f>NA()</f>
        <v>#N/A</v>
      </c>
      <c r="F247" s="1" t="e">
        <f>NA()</f>
        <v>#N/A</v>
      </c>
      <c r="G247" s="1" t="e">
        <f>NA()</f>
        <v>#N/A</v>
      </c>
      <c r="H247" s="1" t="e">
        <f>NA()</f>
        <v>#N/A</v>
      </c>
      <c r="I247" s="1" t="e">
        <f>NA()</f>
        <v>#N/A</v>
      </c>
      <c r="J247" s="1" t="e">
        <f>NA()</f>
        <v>#N/A</v>
      </c>
    </row>
    <row r="248" spans="1:12">
      <c r="A248" s="35"/>
      <c r="B248" s="36"/>
      <c r="C248" s="1">
        <v>4</v>
      </c>
      <c r="D248" s="1">
        <v>132</v>
      </c>
      <c r="E248" s="1" t="e">
        <f>NA()</f>
        <v>#N/A</v>
      </c>
      <c r="F248" s="1" t="e">
        <f>NA()</f>
        <v>#N/A</v>
      </c>
      <c r="G248" s="1" t="e">
        <f>NA()</f>
        <v>#N/A</v>
      </c>
      <c r="H248" s="1" t="e">
        <f>NA()</f>
        <v>#N/A</v>
      </c>
      <c r="I248" s="1" t="e">
        <f>NA()</f>
        <v>#N/A</v>
      </c>
      <c r="J248" s="1" t="e">
        <f>NA()</f>
        <v>#N/A</v>
      </c>
    </row>
    <row r="249" spans="1:12">
      <c r="A249" s="35"/>
      <c r="B249" s="36"/>
      <c r="C249" s="1">
        <v>5</v>
      </c>
      <c r="D249" s="1">
        <v>133</v>
      </c>
      <c r="E249" s="1" t="e">
        <f>NA()</f>
        <v>#N/A</v>
      </c>
      <c r="F249" s="1" t="e">
        <f>NA()</f>
        <v>#N/A</v>
      </c>
      <c r="G249" s="1" t="e">
        <f>NA()</f>
        <v>#N/A</v>
      </c>
      <c r="H249" s="1" t="e">
        <f>NA()</f>
        <v>#N/A</v>
      </c>
      <c r="I249" s="1" t="e">
        <f>NA()</f>
        <v>#N/A</v>
      </c>
      <c r="J249" s="1" t="e">
        <f>NA()</f>
        <v>#N/A</v>
      </c>
    </row>
    <row r="250" spans="1:12">
      <c r="A250" s="35"/>
      <c r="B250" s="36"/>
      <c r="C250" s="1">
        <v>6</v>
      </c>
      <c r="D250" s="1">
        <v>90</v>
      </c>
      <c r="E250" s="1" t="e">
        <f>NA()</f>
        <v>#N/A</v>
      </c>
      <c r="F250" s="1" t="e">
        <f>NA()</f>
        <v>#N/A</v>
      </c>
      <c r="G250" s="1" t="e">
        <f>NA()</f>
        <v>#N/A</v>
      </c>
      <c r="H250" s="1" t="e">
        <f>NA()</f>
        <v>#N/A</v>
      </c>
      <c r="I250" s="1" t="e">
        <f>NA()</f>
        <v>#N/A</v>
      </c>
      <c r="J250" s="1" t="e">
        <f>NA()</f>
        <v>#N/A</v>
      </c>
    </row>
    <row r="251" spans="1:12">
      <c r="A251" s="34" t="s">
        <v>40</v>
      </c>
      <c r="B251" s="36">
        <v>44540</v>
      </c>
      <c r="C251" s="1">
        <v>1</v>
      </c>
      <c r="D251" s="1">
        <v>82</v>
      </c>
      <c r="E251" s="1">
        <v>153</v>
      </c>
      <c r="F251" s="1" t="e">
        <f>NA()</f>
        <v>#N/A</v>
      </c>
      <c r="G251" s="1" t="e">
        <f>NA()</f>
        <v>#N/A</v>
      </c>
      <c r="H251" s="1" t="e">
        <f>NA()</f>
        <v>#N/A</v>
      </c>
      <c r="I251" s="1" t="e">
        <f>NA()</f>
        <v>#N/A</v>
      </c>
      <c r="J251" s="1" t="e">
        <f>NA()</f>
        <v>#N/A</v>
      </c>
    </row>
    <row r="252" spans="1:12">
      <c r="A252" s="35"/>
      <c r="B252" s="36"/>
      <c r="C252" s="1">
        <v>2</v>
      </c>
      <c r="D252" s="1">
        <v>121</v>
      </c>
      <c r="E252" s="1">
        <v>178</v>
      </c>
      <c r="F252" s="1" t="e">
        <f>NA()</f>
        <v>#N/A</v>
      </c>
      <c r="G252" s="1" t="e">
        <f>NA()</f>
        <v>#N/A</v>
      </c>
      <c r="H252" s="1" t="e">
        <f>NA()</f>
        <v>#N/A</v>
      </c>
      <c r="I252" s="1" t="e">
        <f>NA()</f>
        <v>#N/A</v>
      </c>
      <c r="J252" s="1" t="e">
        <f>NA()</f>
        <v>#N/A</v>
      </c>
    </row>
    <row r="253" spans="1:12">
      <c r="A253" s="35"/>
      <c r="B253" s="36"/>
      <c r="C253" s="1">
        <v>3</v>
      </c>
      <c r="D253" s="1">
        <v>109</v>
      </c>
      <c r="E253" s="1">
        <v>127</v>
      </c>
      <c r="F253" s="1" t="e">
        <f>NA()</f>
        <v>#N/A</v>
      </c>
      <c r="G253" s="1" t="e">
        <f>NA()</f>
        <v>#N/A</v>
      </c>
      <c r="H253" s="1" t="e">
        <f>NA()</f>
        <v>#N/A</v>
      </c>
      <c r="I253" s="1" t="e">
        <f>NA()</f>
        <v>#N/A</v>
      </c>
      <c r="J253" s="1" t="e">
        <f>NA()</f>
        <v>#N/A</v>
      </c>
    </row>
    <row r="254" spans="1:12">
      <c r="A254" s="35"/>
      <c r="B254" s="36"/>
      <c r="C254" s="1">
        <v>4</v>
      </c>
      <c r="D254" s="1">
        <v>127</v>
      </c>
      <c r="E254" s="1">
        <v>149</v>
      </c>
      <c r="F254" s="1" t="e">
        <f>NA()</f>
        <v>#N/A</v>
      </c>
      <c r="G254" s="1" t="e">
        <f>NA()</f>
        <v>#N/A</v>
      </c>
      <c r="H254" s="1" t="e">
        <f>NA()</f>
        <v>#N/A</v>
      </c>
      <c r="I254" s="1" t="e">
        <f>NA()</f>
        <v>#N/A</v>
      </c>
      <c r="J254" s="1" t="e">
        <f>NA()</f>
        <v>#N/A</v>
      </c>
    </row>
    <row r="255" spans="1:12">
      <c r="A255" s="35"/>
      <c r="B255" s="36"/>
      <c r="C255" s="1">
        <v>5</v>
      </c>
      <c r="D255" s="1">
        <v>118</v>
      </c>
      <c r="E255" s="1">
        <v>168</v>
      </c>
      <c r="F255" s="1" t="e">
        <f>NA()</f>
        <v>#N/A</v>
      </c>
      <c r="G255" s="1" t="e">
        <f>NA()</f>
        <v>#N/A</v>
      </c>
      <c r="H255" s="1" t="e">
        <f>NA()</f>
        <v>#N/A</v>
      </c>
      <c r="I255" s="1" t="e">
        <f>NA()</f>
        <v>#N/A</v>
      </c>
      <c r="J255" s="1" t="e">
        <f>NA()</f>
        <v>#N/A</v>
      </c>
    </row>
    <row r="256" spans="1:12">
      <c r="A256" s="34" t="s">
        <v>41</v>
      </c>
      <c r="B256" s="36">
        <v>44554</v>
      </c>
      <c r="C256" s="1">
        <v>1</v>
      </c>
      <c r="D256" s="1">
        <v>100</v>
      </c>
      <c r="E256" s="1" t="e">
        <f>NA()</f>
        <v>#N/A</v>
      </c>
      <c r="F256" s="1" t="e">
        <f>NA()</f>
        <v>#N/A</v>
      </c>
      <c r="G256" s="1" t="e">
        <f>NA()</f>
        <v>#N/A</v>
      </c>
      <c r="H256" s="1" t="e">
        <f>NA()</f>
        <v>#N/A</v>
      </c>
      <c r="I256" s="1" t="e">
        <f>NA()</f>
        <v>#N/A</v>
      </c>
      <c r="J256" s="1" t="e">
        <f>NA()</f>
        <v>#N/A</v>
      </c>
    </row>
    <row r="257" spans="1:10">
      <c r="A257" s="35"/>
      <c r="B257" s="36"/>
      <c r="C257" s="1">
        <v>2</v>
      </c>
      <c r="D257" s="1">
        <v>96</v>
      </c>
      <c r="E257" s="1" t="e">
        <f>NA()</f>
        <v>#N/A</v>
      </c>
      <c r="F257" s="1" t="e">
        <f>NA()</f>
        <v>#N/A</v>
      </c>
      <c r="G257" s="1" t="e">
        <f>NA()</f>
        <v>#N/A</v>
      </c>
      <c r="H257" s="1" t="e">
        <f>NA()</f>
        <v>#N/A</v>
      </c>
      <c r="I257" s="1" t="e">
        <f>NA()</f>
        <v>#N/A</v>
      </c>
      <c r="J257" s="1" t="e">
        <f>NA()</f>
        <v>#N/A</v>
      </c>
    </row>
    <row r="258" spans="1:10">
      <c r="A258" s="35"/>
      <c r="B258" s="36"/>
      <c r="C258" s="1">
        <v>3</v>
      </c>
      <c r="D258" s="1">
        <v>106</v>
      </c>
      <c r="E258" s="1" t="e">
        <f>NA()</f>
        <v>#N/A</v>
      </c>
      <c r="F258" s="1" t="e">
        <f>NA()</f>
        <v>#N/A</v>
      </c>
      <c r="G258" s="1" t="e">
        <f>NA()</f>
        <v>#N/A</v>
      </c>
      <c r="H258" s="1" t="e">
        <f>NA()</f>
        <v>#N/A</v>
      </c>
      <c r="I258" s="1" t="e">
        <f>NA()</f>
        <v>#N/A</v>
      </c>
      <c r="J258" s="1" t="e">
        <f>NA()</f>
        <v>#N/A</v>
      </c>
    </row>
    <row r="259" spans="1:10">
      <c r="A259" s="35"/>
      <c r="B259" s="36"/>
      <c r="C259" s="1">
        <v>4</v>
      </c>
      <c r="D259" s="1">
        <v>93</v>
      </c>
      <c r="E259" s="1" t="e">
        <f>NA()</f>
        <v>#N/A</v>
      </c>
      <c r="F259" s="1" t="e">
        <f>NA()</f>
        <v>#N/A</v>
      </c>
      <c r="G259" s="1" t="e">
        <f>NA()</f>
        <v>#N/A</v>
      </c>
      <c r="H259" s="1" t="e">
        <f>NA()</f>
        <v>#N/A</v>
      </c>
      <c r="I259" s="1" t="e">
        <f>NA()</f>
        <v>#N/A</v>
      </c>
      <c r="J259" s="1" t="e">
        <f>NA()</f>
        <v>#N/A</v>
      </c>
    </row>
    <row r="260" spans="1:10">
      <c r="A260" s="35"/>
      <c r="B260" s="36"/>
      <c r="C260" s="1">
        <v>5</v>
      </c>
      <c r="D260" s="1">
        <v>139</v>
      </c>
      <c r="E260" s="1" t="e">
        <f>NA()</f>
        <v>#N/A</v>
      </c>
      <c r="F260" s="1" t="e">
        <f>NA()</f>
        <v>#N/A</v>
      </c>
      <c r="G260" s="1" t="e">
        <f>NA()</f>
        <v>#N/A</v>
      </c>
      <c r="H260" s="1" t="e">
        <f>NA()</f>
        <v>#N/A</v>
      </c>
      <c r="I260" s="1" t="e">
        <f>NA()</f>
        <v>#N/A</v>
      </c>
      <c r="J260" s="1" t="e">
        <f>NA()</f>
        <v>#N/A</v>
      </c>
    </row>
    <row r="261" spans="1:10">
      <c r="A261" s="35"/>
      <c r="B261" s="36"/>
      <c r="C261" s="1">
        <v>6</v>
      </c>
      <c r="D261" s="1">
        <v>126</v>
      </c>
      <c r="E261" s="1" t="e">
        <f>NA()</f>
        <v>#N/A</v>
      </c>
      <c r="F261" s="1" t="e">
        <f>NA()</f>
        <v>#N/A</v>
      </c>
      <c r="G261" s="1" t="e">
        <f>NA()</f>
        <v>#N/A</v>
      </c>
      <c r="H261" s="1" t="e">
        <f>NA()</f>
        <v>#N/A</v>
      </c>
      <c r="I261" s="1" t="e">
        <f>NA()</f>
        <v>#N/A</v>
      </c>
      <c r="J261" s="1" t="e">
        <f>NA()</f>
        <v>#N/A</v>
      </c>
    </row>
    <row r="262" spans="1:10">
      <c r="A262" s="34" t="s">
        <v>42</v>
      </c>
      <c r="B262" s="36">
        <v>44568</v>
      </c>
      <c r="C262" s="1">
        <v>1</v>
      </c>
      <c r="D262" s="1">
        <v>106</v>
      </c>
      <c r="E262" s="1">
        <v>87</v>
      </c>
      <c r="F262" s="1" t="e">
        <f>NA()</f>
        <v>#N/A</v>
      </c>
      <c r="G262" s="1" t="e">
        <f>NA()</f>
        <v>#N/A</v>
      </c>
      <c r="H262" s="1" t="e">
        <f>NA()</f>
        <v>#N/A</v>
      </c>
      <c r="I262" s="1" t="e">
        <f>NA()</f>
        <v>#N/A</v>
      </c>
      <c r="J262" s="1" t="e">
        <f>NA()</f>
        <v>#N/A</v>
      </c>
    </row>
    <row r="263" spans="1:10">
      <c r="A263" s="35"/>
      <c r="B263" s="36"/>
      <c r="C263" s="1">
        <v>2</v>
      </c>
      <c r="D263" s="1">
        <v>112</v>
      </c>
      <c r="E263" s="1">
        <v>173</v>
      </c>
      <c r="F263" s="1" t="e">
        <f>NA()</f>
        <v>#N/A</v>
      </c>
      <c r="G263" s="1" t="e">
        <f>NA()</f>
        <v>#N/A</v>
      </c>
      <c r="H263" s="1" t="e">
        <f>NA()</f>
        <v>#N/A</v>
      </c>
      <c r="I263" s="1" t="e">
        <f>NA()</f>
        <v>#N/A</v>
      </c>
      <c r="J263" s="1" t="e">
        <f>NA()</f>
        <v>#N/A</v>
      </c>
    </row>
    <row r="264" spans="1:10">
      <c r="A264" s="35"/>
      <c r="B264" s="36"/>
      <c r="C264" s="1">
        <v>3</v>
      </c>
      <c r="D264" s="1">
        <v>107</v>
      </c>
      <c r="E264" s="1">
        <v>146</v>
      </c>
      <c r="F264" s="1" t="e">
        <f>NA()</f>
        <v>#N/A</v>
      </c>
      <c r="G264" s="1" t="e">
        <f>NA()</f>
        <v>#N/A</v>
      </c>
      <c r="H264" s="1" t="e">
        <f>NA()</f>
        <v>#N/A</v>
      </c>
      <c r="I264" s="1" t="e">
        <f>NA()</f>
        <v>#N/A</v>
      </c>
      <c r="J264" s="1" t="e">
        <f>NA()</f>
        <v>#N/A</v>
      </c>
    </row>
    <row r="265" spans="1:10">
      <c r="A265" s="35"/>
      <c r="B265" s="36"/>
      <c r="C265" s="1">
        <v>4</v>
      </c>
      <c r="D265" s="1">
        <v>142</v>
      </c>
      <c r="E265" s="1">
        <v>136</v>
      </c>
      <c r="F265" s="1" t="e">
        <f>NA()</f>
        <v>#N/A</v>
      </c>
      <c r="G265" s="1" t="e">
        <f>NA()</f>
        <v>#N/A</v>
      </c>
      <c r="H265" s="1" t="e">
        <f>NA()</f>
        <v>#N/A</v>
      </c>
      <c r="I265" s="1" t="e">
        <f>NA()</f>
        <v>#N/A</v>
      </c>
      <c r="J265" s="1" t="e">
        <f>NA()</f>
        <v>#N/A</v>
      </c>
    </row>
    <row r="266" spans="1:10">
      <c r="A266" s="35"/>
      <c r="B266" s="36"/>
      <c r="C266" s="1">
        <v>5</v>
      </c>
      <c r="D266" s="1">
        <v>126</v>
      </c>
      <c r="E266" s="1">
        <v>116</v>
      </c>
      <c r="F266" s="1" t="e">
        <f>NA()</f>
        <v>#N/A</v>
      </c>
      <c r="G266" s="1" t="e">
        <f>NA()</f>
        <v>#N/A</v>
      </c>
      <c r="H266" s="1" t="e">
        <f>NA()</f>
        <v>#N/A</v>
      </c>
      <c r="I266" s="1" t="e">
        <f>NA()</f>
        <v>#N/A</v>
      </c>
      <c r="J266" s="1" t="e">
        <f>NA()</f>
        <v>#N/A</v>
      </c>
    </row>
    <row r="267" spans="1:10">
      <c r="A267" s="34" t="s">
        <v>43</v>
      </c>
      <c r="B267" s="36">
        <v>44582</v>
      </c>
      <c r="C267" s="1">
        <v>1</v>
      </c>
      <c r="D267" s="1">
        <v>98</v>
      </c>
      <c r="E267" s="1">
        <v>106</v>
      </c>
      <c r="F267" s="1" t="e">
        <f>NA()</f>
        <v>#N/A</v>
      </c>
      <c r="G267" s="1" t="e">
        <f>NA()</f>
        <v>#N/A</v>
      </c>
      <c r="H267" s="1" t="e">
        <f>NA()</f>
        <v>#N/A</v>
      </c>
      <c r="I267" s="1" t="e">
        <f>NA()</f>
        <v>#N/A</v>
      </c>
      <c r="J267" s="1" t="e">
        <f>NA()</f>
        <v>#N/A</v>
      </c>
    </row>
    <row r="268" spans="1:10">
      <c r="A268" s="35"/>
      <c r="B268" s="36"/>
      <c r="C268" s="1">
        <v>2</v>
      </c>
      <c r="D268" s="1">
        <v>128</v>
      </c>
      <c r="E268" s="1">
        <v>148</v>
      </c>
      <c r="F268" s="1" t="e">
        <f>NA()</f>
        <v>#N/A</v>
      </c>
      <c r="G268" s="1" t="e">
        <f>NA()</f>
        <v>#N/A</v>
      </c>
      <c r="H268" s="1" t="e">
        <f>NA()</f>
        <v>#N/A</v>
      </c>
      <c r="I268" s="1" t="e">
        <f>NA()</f>
        <v>#N/A</v>
      </c>
      <c r="J268" s="1" t="e">
        <f>NA()</f>
        <v>#N/A</v>
      </c>
    </row>
    <row r="269" spans="1:10">
      <c r="A269" s="35"/>
      <c r="B269" s="36"/>
      <c r="C269" s="1">
        <v>3</v>
      </c>
      <c r="D269" s="1">
        <v>146</v>
      </c>
      <c r="E269" s="1">
        <v>130</v>
      </c>
      <c r="F269" s="1" t="e">
        <f>NA()</f>
        <v>#N/A</v>
      </c>
      <c r="G269" s="1" t="e">
        <f>NA()</f>
        <v>#N/A</v>
      </c>
      <c r="H269" s="1" t="e">
        <f>NA()</f>
        <v>#N/A</v>
      </c>
      <c r="I269" s="1" t="e">
        <f>NA()</f>
        <v>#N/A</v>
      </c>
      <c r="J269" s="1" t="e">
        <f>NA()</f>
        <v>#N/A</v>
      </c>
    </row>
    <row r="270" spans="1:10">
      <c r="A270" s="35"/>
      <c r="B270" s="36"/>
      <c r="C270" s="1">
        <v>4</v>
      </c>
      <c r="D270" s="1">
        <v>131</v>
      </c>
      <c r="E270" s="1">
        <v>136</v>
      </c>
      <c r="F270" s="1" t="e">
        <f>NA()</f>
        <v>#N/A</v>
      </c>
      <c r="G270" s="1" t="e">
        <f>NA()</f>
        <v>#N/A</v>
      </c>
      <c r="H270" s="1" t="e">
        <f>NA()</f>
        <v>#N/A</v>
      </c>
      <c r="I270" s="1" t="e">
        <f>NA()</f>
        <v>#N/A</v>
      </c>
      <c r="J270" s="1" t="e">
        <f>NA()</f>
        <v>#N/A</v>
      </c>
    </row>
    <row r="271" spans="1:10">
      <c r="A271" s="35"/>
      <c r="B271" s="36"/>
      <c r="C271" s="1">
        <v>5</v>
      </c>
      <c r="D271" s="1">
        <v>132</v>
      </c>
      <c r="E271" s="1">
        <v>158</v>
      </c>
      <c r="F271" s="1" t="e">
        <f>NA()</f>
        <v>#N/A</v>
      </c>
      <c r="G271" s="1" t="e">
        <f>NA()</f>
        <v>#N/A</v>
      </c>
      <c r="H271" s="1" t="e">
        <f>NA()</f>
        <v>#N/A</v>
      </c>
      <c r="I271" s="1" t="e">
        <f>NA()</f>
        <v>#N/A</v>
      </c>
      <c r="J271" s="1" t="e">
        <f>NA()</f>
        <v>#N/A</v>
      </c>
    </row>
    <row r="272" spans="1:10">
      <c r="A272" s="34" t="s">
        <v>44</v>
      </c>
      <c r="B272" s="36">
        <v>44589</v>
      </c>
      <c r="C272" s="1">
        <v>1</v>
      </c>
      <c r="D272" s="1">
        <v>104</v>
      </c>
      <c r="E272" s="1">
        <v>140</v>
      </c>
      <c r="F272" s="1" t="e">
        <f>NA()</f>
        <v>#N/A</v>
      </c>
      <c r="G272" s="1" t="e">
        <f>NA()</f>
        <v>#N/A</v>
      </c>
      <c r="H272" s="1" t="e">
        <f>NA()</f>
        <v>#N/A</v>
      </c>
      <c r="I272" s="1" t="e">
        <f>NA()</f>
        <v>#N/A</v>
      </c>
      <c r="J272" s="1" t="e">
        <f>NA()</f>
        <v>#N/A</v>
      </c>
    </row>
    <row r="273" spans="1:10">
      <c r="A273" s="35"/>
      <c r="B273" s="36"/>
      <c r="C273" s="1">
        <v>2</v>
      </c>
      <c r="D273" s="1">
        <v>125</v>
      </c>
      <c r="E273" s="1">
        <v>148</v>
      </c>
      <c r="F273" s="1" t="e">
        <f>NA()</f>
        <v>#N/A</v>
      </c>
      <c r="G273" s="1" t="e">
        <f>NA()</f>
        <v>#N/A</v>
      </c>
      <c r="H273" s="1" t="e">
        <f>NA()</f>
        <v>#N/A</v>
      </c>
      <c r="I273" s="1" t="e">
        <f>NA()</f>
        <v>#N/A</v>
      </c>
      <c r="J273" s="1" t="e">
        <f>NA()</f>
        <v>#N/A</v>
      </c>
    </row>
    <row r="274" spans="1:10">
      <c r="A274" s="35"/>
      <c r="B274" s="36"/>
      <c r="C274" s="1">
        <v>3</v>
      </c>
      <c r="D274" s="1">
        <v>100</v>
      </c>
      <c r="E274" s="1">
        <v>129</v>
      </c>
      <c r="F274" s="1" t="e">
        <f>NA()</f>
        <v>#N/A</v>
      </c>
      <c r="G274" s="1" t="e">
        <f>NA()</f>
        <v>#N/A</v>
      </c>
      <c r="H274" s="1" t="e">
        <f>NA()</f>
        <v>#N/A</v>
      </c>
      <c r="I274" s="1" t="e">
        <f>NA()</f>
        <v>#N/A</v>
      </c>
      <c r="J274" s="1" t="e">
        <f>NA()</f>
        <v>#N/A</v>
      </c>
    </row>
    <row r="275" spans="1:10">
      <c r="A275" s="35"/>
      <c r="B275" s="36"/>
      <c r="C275" s="1">
        <v>4</v>
      </c>
      <c r="D275" s="1">
        <v>124</v>
      </c>
      <c r="E275" s="1">
        <v>181</v>
      </c>
      <c r="F275" s="1" t="e">
        <f>NA()</f>
        <v>#N/A</v>
      </c>
      <c r="G275" s="1" t="e">
        <f>NA()</f>
        <v>#N/A</v>
      </c>
      <c r="H275" s="1" t="e">
        <f>NA()</f>
        <v>#N/A</v>
      </c>
      <c r="I275" s="1" t="e">
        <f>NA()</f>
        <v>#N/A</v>
      </c>
      <c r="J275" s="1" t="e">
        <f>NA()</f>
        <v>#N/A</v>
      </c>
    </row>
    <row r="276" spans="1:10">
      <c r="A276" s="35"/>
      <c r="B276" s="36"/>
      <c r="C276" s="1">
        <v>5</v>
      </c>
      <c r="D276" s="1">
        <v>134</v>
      </c>
      <c r="E276" s="1">
        <v>152</v>
      </c>
      <c r="F276" s="1" t="e">
        <f>NA()</f>
        <v>#N/A</v>
      </c>
      <c r="G276" s="1" t="e">
        <f>NA()</f>
        <v>#N/A</v>
      </c>
      <c r="H276" s="1" t="e">
        <f>NA()</f>
        <v>#N/A</v>
      </c>
      <c r="I276" s="1" t="e">
        <f>NA()</f>
        <v>#N/A</v>
      </c>
      <c r="J276" s="1" t="e">
        <f>NA()</f>
        <v>#N/A</v>
      </c>
    </row>
    <row r="277" spans="1:10">
      <c r="A277" s="34" t="s">
        <v>45</v>
      </c>
      <c r="B277" s="36">
        <v>44596</v>
      </c>
      <c r="C277" s="1">
        <v>1</v>
      </c>
      <c r="D277" s="1">
        <v>130</v>
      </c>
      <c r="E277" s="1" t="e">
        <f>NA()</f>
        <v>#N/A</v>
      </c>
      <c r="F277" s="1" t="e">
        <f>NA()</f>
        <v>#N/A</v>
      </c>
      <c r="G277" s="1" t="e">
        <f>NA()</f>
        <v>#N/A</v>
      </c>
      <c r="H277" s="1" t="e">
        <f>NA()</f>
        <v>#N/A</v>
      </c>
      <c r="I277" s="1" t="e">
        <f>NA()</f>
        <v>#N/A</v>
      </c>
      <c r="J277" s="1" t="e">
        <f>NA()</f>
        <v>#N/A</v>
      </c>
    </row>
    <row r="278" spans="1:10">
      <c r="A278" s="35"/>
      <c r="B278" s="36"/>
      <c r="C278" s="1">
        <v>2</v>
      </c>
      <c r="D278" s="1">
        <v>100</v>
      </c>
      <c r="E278" s="1" t="e">
        <f>NA()</f>
        <v>#N/A</v>
      </c>
      <c r="F278" s="1" t="e">
        <f>NA()</f>
        <v>#N/A</v>
      </c>
      <c r="G278" s="1" t="e">
        <f>NA()</f>
        <v>#N/A</v>
      </c>
      <c r="H278" s="1" t="e">
        <f>NA()</f>
        <v>#N/A</v>
      </c>
      <c r="I278" s="1" t="e">
        <f>NA()</f>
        <v>#N/A</v>
      </c>
      <c r="J278" s="1" t="e">
        <f>NA()</f>
        <v>#N/A</v>
      </c>
    </row>
    <row r="279" spans="1:10">
      <c r="A279" s="35"/>
      <c r="B279" s="36"/>
      <c r="C279" s="1">
        <v>3</v>
      </c>
      <c r="D279" s="1">
        <v>116</v>
      </c>
      <c r="E279" s="1" t="e">
        <f>NA()</f>
        <v>#N/A</v>
      </c>
      <c r="F279" s="1" t="e">
        <f>NA()</f>
        <v>#N/A</v>
      </c>
      <c r="G279" s="1" t="e">
        <f>NA()</f>
        <v>#N/A</v>
      </c>
      <c r="H279" s="1" t="e">
        <f>NA()</f>
        <v>#N/A</v>
      </c>
      <c r="I279" s="1" t="e">
        <f>NA()</f>
        <v>#N/A</v>
      </c>
      <c r="J279" s="1" t="e">
        <f>NA()</f>
        <v>#N/A</v>
      </c>
    </row>
    <row r="280" spans="1:10">
      <c r="A280" s="35"/>
      <c r="B280" s="36"/>
      <c r="C280" s="1">
        <v>4</v>
      </c>
      <c r="D280" s="1">
        <v>128</v>
      </c>
      <c r="E280" s="1" t="e">
        <f>NA()</f>
        <v>#N/A</v>
      </c>
      <c r="F280" s="1" t="e">
        <f>NA()</f>
        <v>#N/A</v>
      </c>
      <c r="G280" s="1" t="e">
        <f>NA()</f>
        <v>#N/A</v>
      </c>
      <c r="H280" s="1" t="e">
        <f>NA()</f>
        <v>#N/A</v>
      </c>
      <c r="I280" s="1" t="e">
        <f>NA()</f>
        <v>#N/A</v>
      </c>
      <c r="J280" s="1" t="e">
        <f>NA()</f>
        <v>#N/A</v>
      </c>
    </row>
    <row r="281" spans="1:10">
      <c r="A281" s="34" t="s">
        <v>46</v>
      </c>
      <c r="B281" s="36">
        <v>44624</v>
      </c>
      <c r="C281" s="1">
        <v>1</v>
      </c>
      <c r="D281" s="1">
        <v>101</v>
      </c>
      <c r="E281" s="1" t="e">
        <f>NA()</f>
        <v>#N/A</v>
      </c>
      <c r="F281" s="1" t="e">
        <f>NA()</f>
        <v>#N/A</v>
      </c>
      <c r="G281" s="1" t="e">
        <f>NA()</f>
        <v>#N/A</v>
      </c>
      <c r="H281" s="1" t="e">
        <f>NA()</f>
        <v>#N/A</v>
      </c>
      <c r="I281" s="1" t="e">
        <f>NA()</f>
        <v>#N/A</v>
      </c>
      <c r="J281" s="1" t="e">
        <f>NA()</f>
        <v>#N/A</v>
      </c>
    </row>
    <row r="282" spans="1:10">
      <c r="A282" s="35"/>
      <c r="B282" s="36"/>
      <c r="C282" s="1">
        <v>2</v>
      </c>
      <c r="D282" s="1">
        <v>106</v>
      </c>
      <c r="E282" s="1" t="e">
        <f>NA()</f>
        <v>#N/A</v>
      </c>
      <c r="F282" s="1" t="e">
        <f>NA()</f>
        <v>#N/A</v>
      </c>
      <c r="G282" s="1" t="e">
        <f>NA()</f>
        <v>#N/A</v>
      </c>
      <c r="H282" s="1" t="e">
        <f>NA()</f>
        <v>#N/A</v>
      </c>
      <c r="I282" s="1" t="e">
        <f>NA()</f>
        <v>#N/A</v>
      </c>
      <c r="J282" s="1" t="e">
        <f>NA()</f>
        <v>#N/A</v>
      </c>
    </row>
    <row r="283" spans="1:10">
      <c r="A283" s="35"/>
      <c r="B283" s="36"/>
      <c r="C283" s="1">
        <v>3</v>
      </c>
      <c r="D283" s="1">
        <v>123</v>
      </c>
      <c r="E283" s="1" t="e">
        <f>NA()</f>
        <v>#N/A</v>
      </c>
      <c r="F283" s="1" t="e">
        <f>NA()</f>
        <v>#N/A</v>
      </c>
      <c r="G283" s="1" t="e">
        <f>NA()</f>
        <v>#N/A</v>
      </c>
      <c r="H283" s="1" t="e">
        <f>NA()</f>
        <v>#N/A</v>
      </c>
      <c r="I283" s="1" t="e">
        <f>NA()</f>
        <v>#N/A</v>
      </c>
      <c r="J283" s="1" t="e">
        <f>NA()</f>
        <v>#N/A</v>
      </c>
    </row>
    <row r="284" spans="1:10">
      <c r="A284" s="35"/>
      <c r="B284" s="36"/>
      <c r="C284" s="1">
        <v>4</v>
      </c>
      <c r="D284" s="1">
        <v>130</v>
      </c>
      <c r="E284" s="1" t="e">
        <f>NA()</f>
        <v>#N/A</v>
      </c>
      <c r="F284" s="1" t="e">
        <f>NA()</f>
        <v>#N/A</v>
      </c>
      <c r="G284" s="1" t="e">
        <f>NA()</f>
        <v>#N/A</v>
      </c>
      <c r="H284" s="1" t="e">
        <f>NA()</f>
        <v>#N/A</v>
      </c>
      <c r="I284" s="1" t="e">
        <f>NA()</f>
        <v>#N/A</v>
      </c>
      <c r="J284" s="1" t="e">
        <f>NA()</f>
        <v>#N/A</v>
      </c>
    </row>
    <row r="285" spans="1:10">
      <c r="A285" s="50" t="s">
        <v>47</v>
      </c>
      <c r="B285" s="36">
        <v>44633</v>
      </c>
      <c r="C285" s="1">
        <v>1</v>
      </c>
      <c r="D285" s="1">
        <v>90</v>
      </c>
      <c r="E285" s="1">
        <v>129</v>
      </c>
      <c r="F285" s="1" t="e">
        <f>NA()</f>
        <v>#N/A</v>
      </c>
      <c r="G285" s="1" t="e">
        <f>NA()</f>
        <v>#N/A</v>
      </c>
      <c r="H285" s="1" t="e">
        <f>NA()</f>
        <v>#N/A</v>
      </c>
      <c r="I285" s="1" t="e">
        <f>NA()</f>
        <v>#N/A</v>
      </c>
      <c r="J285" s="1" t="e">
        <f>NA()</f>
        <v>#N/A</v>
      </c>
    </row>
    <row r="286" spans="1:10">
      <c r="A286" s="40"/>
      <c r="B286" s="36"/>
      <c r="C286" s="1">
        <v>2</v>
      </c>
      <c r="D286" s="1">
        <v>110</v>
      </c>
      <c r="E286" s="1">
        <v>122</v>
      </c>
      <c r="F286" s="1" t="e">
        <f>NA()</f>
        <v>#N/A</v>
      </c>
      <c r="G286" s="1" t="e">
        <f>NA()</f>
        <v>#N/A</v>
      </c>
      <c r="H286" s="1" t="e">
        <f>NA()</f>
        <v>#N/A</v>
      </c>
      <c r="I286" s="1" t="e">
        <f>NA()</f>
        <v>#N/A</v>
      </c>
      <c r="J286" s="1" t="e">
        <f>NA()</f>
        <v>#N/A</v>
      </c>
    </row>
    <row r="287" spans="1:10">
      <c r="A287" s="40"/>
      <c r="B287" s="36"/>
      <c r="C287" s="1">
        <v>3</v>
      </c>
      <c r="D287" s="1">
        <v>125</v>
      </c>
      <c r="E287" s="1">
        <v>143</v>
      </c>
      <c r="F287" s="1" t="e">
        <f>NA()</f>
        <v>#N/A</v>
      </c>
      <c r="G287" s="1" t="e">
        <f>NA()</f>
        <v>#N/A</v>
      </c>
      <c r="H287" s="1" t="e">
        <f>NA()</f>
        <v>#N/A</v>
      </c>
      <c r="I287" s="1" t="e">
        <f>NA()</f>
        <v>#N/A</v>
      </c>
      <c r="J287" s="1" t="e">
        <f>NA()</f>
        <v>#N/A</v>
      </c>
    </row>
    <row r="288" spans="1:10">
      <c r="A288" s="40"/>
      <c r="B288" s="36"/>
      <c r="C288" s="1">
        <v>4</v>
      </c>
      <c r="D288" s="1">
        <v>139</v>
      </c>
      <c r="E288" s="1">
        <v>167</v>
      </c>
      <c r="F288" s="1" t="e">
        <f>NA()</f>
        <v>#N/A</v>
      </c>
      <c r="G288" s="1" t="e">
        <f>NA()</f>
        <v>#N/A</v>
      </c>
      <c r="H288" s="1" t="e">
        <f>NA()</f>
        <v>#N/A</v>
      </c>
      <c r="I288" s="1" t="e">
        <f>NA()</f>
        <v>#N/A</v>
      </c>
      <c r="J288" s="1" t="e">
        <f>NA()</f>
        <v>#N/A</v>
      </c>
    </row>
    <row r="289" spans="1:10">
      <c r="A289" s="40"/>
      <c r="B289" s="36"/>
      <c r="C289" s="1">
        <v>5</v>
      </c>
      <c r="D289" s="1">
        <v>130</v>
      </c>
      <c r="E289" s="1">
        <v>143</v>
      </c>
      <c r="F289" s="1">
        <v>85</v>
      </c>
      <c r="G289" s="1" t="e">
        <f>NA()</f>
        <v>#N/A</v>
      </c>
      <c r="H289" s="1" t="e">
        <f>NA()</f>
        <v>#N/A</v>
      </c>
      <c r="I289" s="1" t="e">
        <f>NA()</f>
        <v>#N/A</v>
      </c>
      <c r="J289" s="1" t="e">
        <f>NA()</f>
        <v>#N/A</v>
      </c>
    </row>
    <row r="290" spans="1:10">
      <c r="A290" s="40"/>
      <c r="B290" s="36"/>
      <c r="C290" s="1">
        <v>6</v>
      </c>
      <c r="D290" s="1">
        <v>103</v>
      </c>
      <c r="E290" s="1">
        <v>148</v>
      </c>
      <c r="F290" s="1">
        <v>142</v>
      </c>
      <c r="G290" s="1" t="e">
        <f>NA()</f>
        <v>#N/A</v>
      </c>
      <c r="H290" s="1" t="e">
        <f>NA()</f>
        <v>#N/A</v>
      </c>
      <c r="I290" s="1" t="e">
        <f>NA()</f>
        <v>#N/A</v>
      </c>
      <c r="J290" s="1" t="e">
        <f>NA()</f>
        <v>#N/A</v>
      </c>
    </row>
    <row r="291" spans="1:10">
      <c r="A291" s="40"/>
      <c r="B291" s="36"/>
      <c r="C291" s="1">
        <v>7</v>
      </c>
      <c r="D291" s="1">
        <v>115</v>
      </c>
      <c r="E291" s="1">
        <v>152</v>
      </c>
      <c r="F291" s="1">
        <v>105</v>
      </c>
      <c r="G291" s="1" t="e">
        <f>NA()</f>
        <v>#N/A</v>
      </c>
      <c r="H291" s="1" t="e">
        <f>NA()</f>
        <v>#N/A</v>
      </c>
      <c r="I291" s="1" t="e">
        <f>NA()</f>
        <v>#N/A</v>
      </c>
      <c r="J291" s="1" t="e">
        <f>NA()</f>
        <v>#N/A</v>
      </c>
    </row>
    <row r="292" spans="1:10">
      <c r="A292" s="34" t="s">
        <v>48</v>
      </c>
      <c r="B292" s="36">
        <v>44652</v>
      </c>
      <c r="C292" s="1">
        <v>1</v>
      </c>
      <c r="D292" s="1">
        <v>90</v>
      </c>
      <c r="E292" s="1" t="e">
        <f>NA()</f>
        <v>#N/A</v>
      </c>
      <c r="F292" s="1" t="e">
        <f>NA()</f>
        <v>#N/A</v>
      </c>
      <c r="G292" s="1" t="e">
        <f>NA()</f>
        <v>#N/A</v>
      </c>
      <c r="H292" s="1" t="e">
        <f>NA()</f>
        <v>#N/A</v>
      </c>
      <c r="I292" s="1" t="e">
        <f>NA()</f>
        <v>#N/A</v>
      </c>
      <c r="J292" s="1" t="e">
        <f>NA()</f>
        <v>#N/A</v>
      </c>
    </row>
    <row r="293" spans="1:10">
      <c r="A293" s="35"/>
      <c r="B293" s="36"/>
      <c r="C293" s="1">
        <v>2</v>
      </c>
      <c r="D293" s="1">
        <v>87</v>
      </c>
      <c r="E293" s="1" t="e">
        <f>NA()</f>
        <v>#N/A</v>
      </c>
      <c r="F293" s="1" t="e">
        <f>NA()</f>
        <v>#N/A</v>
      </c>
      <c r="G293" s="1" t="e">
        <f>NA()</f>
        <v>#N/A</v>
      </c>
      <c r="H293" s="1" t="e">
        <f>NA()</f>
        <v>#N/A</v>
      </c>
      <c r="I293" s="1" t="e">
        <f>NA()</f>
        <v>#N/A</v>
      </c>
      <c r="J293" s="1" t="e">
        <f>NA()</f>
        <v>#N/A</v>
      </c>
    </row>
    <row r="294" spans="1:10">
      <c r="A294" s="35"/>
      <c r="B294" s="36"/>
      <c r="C294" s="1">
        <v>3</v>
      </c>
      <c r="D294" s="1">
        <v>90</v>
      </c>
      <c r="E294" s="1" t="e">
        <f>NA()</f>
        <v>#N/A</v>
      </c>
      <c r="F294" s="1" t="e">
        <f>NA()</f>
        <v>#N/A</v>
      </c>
      <c r="G294" s="1" t="e">
        <f>NA()</f>
        <v>#N/A</v>
      </c>
      <c r="H294" s="1" t="e">
        <f>NA()</f>
        <v>#N/A</v>
      </c>
      <c r="I294" s="1" t="e">
        <f>NA()</f>
        <v>#N/A</v>
      </c>
      <c r="J294" s="1" t="e">
        <f>NA()</f>
        <v>#N/A</v>
      </c>
    </row>
    <row r="295" spans="1:10">
      <c r="A295" s="35"/>
      <c r="B295" s="36"/>
      <c r="C295" s="1">
        <v>4</v>
      </c>
      <c r="D295" s="1">
        <v>146</v>
      </c>
      <c r="E295" s="1" t="e">
        <f>NA()</f>
        <v>#N/A</v>
      </c>
      <c r="F295" s="1" t="e">
        <f>NA()</f>
        <v>#N/A</v>
      </c>
      <c r="G295" s="1" t="e">
        <f>NA()</f>
        <v>#N/A</v>
      </c>
      <c r="H295" s="1" t="e">
        <f>NA()</f>
        <v>#N/A</v>
      </c>
      <c r="I295" s="1" t="e">
        <f>NA()</f>
        <v>#N/A</v>
      </c>
      <c r="J295" s="1" t="e">
        <f>NA()</f>
        <v>#N/A</v>
      </c>
    </row>
    <row r="296" spans="1:10">
      <c r="A296" s="35"/>
      <c r="B296" s="36"/>
      <c r="C296" s="1">
        <v>5</v>
      </c>
      <c r="D296" s="1">
        <v>157</v>
      </c>
      <c r="E296" s="1" t="e">
        <f>NA()</f>
        <v>#N/A</v>
      </c>
      <c r="F296" s="1" t="e">
        <f>NA()</f>
        <v>#N/A</v>
      </c>
      <c r="G296" s="1" t="e">
        <f>NA()</f>
        <v>#N/A</v>
      </c>
      <c r="H296" s="1" t="e">
        <f>NA()</f>
        <v>#N/A</v>
      </c>
      <c r="I296" s="1" t="e">
        <f>NA()</f>
        <v>#N/A</v>
      </c>
      <c r="J296" s="1" t="e">
        <f>NA()</f>
        <v>#N/A</v>
      </c>
    </row>
    <row r="297" spans="1:10">
      <c r="A297" s="35"/>
      <c r="B297" s="36"/>
      <c r="C297" s="1">
        <v>6</v>
      </c>
      <c r="D297" s="1">
        <v>120</v>
      </c>
      <c r="E297" s="1" t="e">
        <f>NA()</f>
        <v>#N/A</v>
      </c>
      <c r="F297" s="1" t="e">
        <f>NA()</f>
        <v>#N/A</v>
      </c>
      <c r="G297" s="1" t="e">
        <f>NA()</f>
        <v>#N/A</v>
      </c>
      <c r="H297" s="1" t="e">
        <f>NA()</f>
        <v>#N/A</v>
      </c>
      <c r="I297" s="1" t="e">
        <f>NA()</f>
        <v>#N/A</v>
      </c>
      <c r="J297" s="1" t="e">
        <f>NA()</f>
        <v>#N/A</v>
      </c>
    </row>
    <row r="298" spans="1:10">
      <c r="A298" s="35"/>
      <c r="B298" s="36"/>
      <c r="C298" s="1">
        <v>7</v>
      </c>
      <c r="D298" s="1">
        <v>110</v>
      </c>
      <c r="E298" s="1" t="e">
        <f>NA()</f>
        <v>#N/A</v>
      </c>
      <c r="F298" s="1" t="e">
        <f>NA()</f>
        <v>#N/A</v>
      </c>
      <c r="G298" s="1" t="e">
        <f>NA()</f>
        <v>#N/A</v>
      </c>
      <c r="H298" s="1" t="e">
        <f>NA()</f>
        <v>#N/A</v>
      </c>
      <c r="I298" s="1" t="e">
        <f>NA()</f>
        <v>#N/A</v>
      </c>
      <c r="J298" s="1" t="e">
        <f>NA()</f>
        <v>#N/A</v>
      </c>
    </row>
    <row r="299" spans="1:10">
      <c r="A299" s="34" t="s">
        <v>49</v>
      </c>
      <c r="B299" s="36">
        <v>44661</v>
      </c>
      <c r="C299" s="1">
        <v>1</v>
      </c>
      <c r="D299" s="1">
        <v>97</v>
      </c>
      <c r="E299" s="1">
        <v>148</v>
      </c>
      <c r="F299" s="1" t="e">
        <f>NA()</f>
        <v>#N/A</v>
      </c>
      <c r="G299" s="1" t="e">
        <f>NA()</f>
        <v>#N/A</v>
      </c>
      <c r="H299" s="1" t="e">
        <f>NA()</f>
        <v>#N/A</v>
      </c>
      <c r="I299" s="1" t="e">
        <f>NA()</f>
        <v>#N/A</v>
      </c>
      <c r="J299" s="1" t="e">
        <f>NA()</f>
        <v>#N/A</v>
      </c>
    </row>
    <row r="300" spans="1:10">
      <c r="A300" s="35"/>
      <c r="B300" s="36"/>
      <c r="C300" s="1">
        <v>2</v>
      </c>
      <c r="D300" s="1">
        <v>101</v>
      </c>
      <c r="E300" s="1">
        <v>127</v>
      </c>
      <c r="F300" s="1" t="e">
        <f>NA()</f>
        <v>#N/A</v>
      </c>
      <c r="G300" s="1" t="e">
        <f>NA()</f>
        <v>#N/A</v>
      </c>
      <c r="H300" s="1" t="e">
        <f>NA()</f>
        <v>#N/A</v>
      </c>
      <c r="I300" s="1" t="e">
        <f>NA()</f>
        <v>#N/A</v>
      </c>
      <c r="J300" s="1" t="e">
        <f>NA()</f>
        <v>#N/A</v>
      </c>
    </row>
    <row r="301" spans="1:10">
      <c r="A301" s="35"/>
      <c r="B301" s="36"/>
      <c r="C301" s="1">
        <v>3</v>
      </c>
      <c r="D301" s="1">
        <v>106</v>
      </c>
      <c r="E301" s="1">
        <v>162</v>
      </c>
      <c r="F301" s="1" t="e">
        <f>NA()</f>
        <v>#N/A</v>
      </c>
      <c r="G301" s="1" t="e">
        <f>NA()</f>
        <v>#N/A</v>
      </c>
      <c r="H301" s="1" t="e">
        <f>NA()</f>
        <v>#N/A</v>
      </c>
      <c r="I301" s="1" t="e">
        <f>NA()</f>
        <v>#N/A</v>
      </c>
      <c r="J301" s="1" t="e">
        <f>NA()</f>
        <v>#N/A</v>
      </c>
    </row>
    <row r="302" spans="1:10">
      <c r="A302" s="35"/>
      <c r="B302" s="36"/>
      <c r="C302" s="1">
        <v>4</v>
      </c>
      <c r="D302" s="1">
        <v>111</v>
      </c>
      <c r="E302" s="1">
        <v>155</v>
      </c>
      <c r="F302" s="1" t="e">
        <f>NA()</f>
        <v>#N/A</v>
      </c>
      <c r="G302" s="1" t="e">
        <f>NA()</f>
        <v>#N/A</v>
      </c>
      <c r="H302" s="1" t="e">
        <f>NA()</f>
        <v>#N/A</v>
      </c>
      <c r="I302" s="1" t="e">
        <f>NA()</f>
        <v>#N/A</v>
      </c>
      <c r="J302" s="1" t="e">
        <f>NA()</f>
        <v>#N/A</v>
      </c>
    </row>
    <row r="303" spans="1:10">
      <c r="A303" s="35"/>
      <c r="B303" s="36"/>
      <c r="C303" s="1">
        <v>5</v>
      </c>
      <c r="D303" s="1">
        <v>94</v>
      </c>
      <c r="E303" s="1">
        <v>121</v>
      </c>
      <c r="F303" s="1" t="e">
        <f>NA()</f>
        <v>#N/A</v>
      </c>
      <c r="G303" s="1" t="e">
        <f>NA()</f>
        <v>#N/A</v>
      </c>
      <c r="H303" s="1" t="e">
        <f>NA()</f>
        <v>#N/A</v>
      </c>
      <c r="I303" s="1" t="e">
        <f>NA()</f>
        <v>#N/A</v>
      </c>
      <c r="J303" s="1" t="e">
        <f>NA()</f>
        <v>#N/A</v>
      </c>
    </row>
    <row r="304" spans="1:10">
      <c r="A304" s="34" t="s">
        <v>50</v>
      </c>
      <c r="B304" s="36">
        <v>44667</v>
      </c>
      <c r="C304" s="1">
        <v>1</v>
      </c>
      <c r="D304" s="1">
        <v>92</v>
      </c>
      <c r="E304" s="1" t="e">
        <f>NA()</f>
        <v>#N/A</v>
      </c>
      <c r="F304" s="1" t="e">
        <f>NA()</f>
        <v>#N/A</v>
      </c>
      <c r="G304" s="1" t="e">
        <f>NA()</f>
        <v>#N/A</v>
      </c>
      <c r="H304" s="1" t="e">
        <f>NA()</f>
        <v>#N/A</v>
      </c>
      <c r="I304" s="1" t="e">
        <f>NA()</f>
        <v>#N/A</v>
      </c>
      <c r="J304" s="1" t="e">
        <f>NA()</f>
        <v>#N/A</v>
      </c>
    </row>
    <row r="305" spans="1:10">
      <c r="A305" s="35"/>
      <c r="B305" s="36"/>
      <c r="C305" s="1">
        <v>2</v>
      </c>
      <c r="D305" s="1">
        <v>115</v>
      </c>
      <c r="E305" s="1" t="e">
        <f>NA()</f>
        <v>#N/A</v>
      </c>
      <c r="F305" s="1" t="e">
        <f>NA()</f>
        <v>#N/A</v>
      </c>
      <c r="G305" s="1" t="e">
        <f>NA()</f>
        <v>#N/A</v>
      </c>
      <c r="H305" s="1" t="e">
        <f>NA()</f>
        <v>#N/A</v>
      </c>
      <c r="I305" s="1" t="e">
        <f>NA()</f>
        <v>#N/A</v>
      </c>
      <c r="J305" s="1" t="e">
        <f>NA()</f>
        <v>#N/A</v>
      </c>
    </row>
    <row r="306" spans="1:10">
      <c r="A306" s="35"/>
      <c r="B306" s="36"/>
      <c r="C306" s="1">
        <v>3</v>
      </c>
      <c r="D306" s="1">
        <v>100</v>
      </c>
      <c r="E306" s="1" t="e">
        <f>NA()</f>
        <v>#N/A</v>
      </c>
      <c r="F306" s="1" t="e">
        <f>NA()</f>
        <v>#N/A</v>
      </c>
      <c r="G306" s="1" t="e">
        <f>NA()</f>
        <v>#N/A</v>
      </c>
      <c r="H306" s="1" t="e">
        <f>NA()</f>
        <v>#N/A</v>
      </c>
      <c r="I306" s="1" t="e">
        <f>NA()</f>
        <v>#N/A</v>
      </c>
      <c r="J306" s="1" t="e">
        <f>NA()</f>
        <v>#N/A</v>
      </c>
    </row>
    <row r="307" spans="1:10">
      <c r="A307" s="35"/>
      <c r="B307" s="36"/>
      <c r="C307" s="1">
        <v>4</v>
      </c>
      <c r="D307" s="1">
        <v>121</v>
      </c>
      <c r="E307" s="1" t="e">
        <f>NA()</f>
        <v>#N/A</v>
      </c>
      <c r="F307" s="1" t="e">
        <f>NA()</f>
        <v>#N/A</v>
      </c>
      <c r="G307" s="1" t="e">
        <f>NA()</f>
        <v>#N/A</v>
      </c>
      <c r="H307" s="1" t="e">
        <f>NA()</f>
        <v>#N/A</v>
      </c>
      <c r="I307" s="1" t="e">
        <f>NA()</f>
        <v>#N/A</v>
      </c>
      <c r="J307" s="1" t="e">
        <f>NA()</f>
        <v>#N/A</v>
      </c>
    </row>
    <row r="308" spans="1:10">
      <c r="A308" s="35"/>
      <c r="B308" s="36"/>
      <c r="C308" s="1">
        <v>5</v>
      </c>
      <c r="D308" s="1">
        <v>83</v>
      </c>
      <c r="E308" s="1" t="e">
        <f>NA()</f>
        <v>#N/A</v>
      </c>
      <c r="F308" s="1" t="e">
        <f>NA()</f>
        <v>#N/A</v>
      </c>
      <c r="G308" s="1" t="e">
        <f>NA()</f>
        <v>#N/A</v>
      </c>
      <c r="H308" s="1" t="e">
        <f>NA()</f>
        <v>#N/A</v>
      </c>
      <c r="I308" s="1" t="e">
        <f>NA()</f>
        <v>#N/A</v>
      </c>
      <c r="J308" s="1" t="e">
        <f>NA()</f>
        <v>#N/A</v>
      </c>
    </row>
    <row r="309" spans="1:10">
      <c r="A309" s="35"/>
      <c r="B309" s="36"/>
      <c r="C309" s="1">
        <v>6</v>
      </c>
      <c r="D309" s="1">
        <v>102</v>
      </c>
      <c r="E309" s="1" t="e">
        <f>NA()</f>
        <v>#N/A</v>
      </c>
      <c r="F309" s="1" t="e">
        <f>NA()</f>
        <v>#N/A</v>
      </c>
      <c r="G309" s="1" t="e">
        <f>NA()</f>
        <v>#N/A</v>
      </c>
      <c r="H309" s="1" t="e">
        <f>NA()</f>
        <v>#N/A</v>
      </c>
      <c r="I309" s="1" t="e">
        <f>NA()</f>
        <v>#N/A</v>
      </c>
      <c r="J309" s="1" t="e">
        <f>NA()</f>
        <v>#N/A</v>
      </c>
    </row>
    <row r="310" spans="1:10">
      <c r="A310" s="34" t="s">
        <v>51</v>
      </c>
      <c r="B310" s="36">
        <v>44673</v>
      </c>
      <c r="C310" s="1">
        <v>1</v>
      </c>
      <c r="D310" s="1">
        <v>95</v>
      </c>
      <c r="E310" s="1">
        <v>108</v>
      </c>
      <c r="F310" s="1" t="e">
        <f>NA()</f>
        <v>#N/A</v>
      </c>
      <c r="G310" s="1" t="e">
        <f>NA()</f>
        <v>#N/A</v>
      </c>
      <c r="H310" s="1" t="e">
        <f>NA()</f>
        <v>#N/A</v>
      </c>
      <c r="I310" s="1" t="e">
        <f>NA()</f>
        <v>#N/A</v>
      </c>
      <c r="J310" s="1" t="e">
        <f>NA()</f>
        <v>#N/A</v>
      </c>
    </row>
    <row r="311" spans="1:10">
      <c r="A311" s="35"/>
      <c r="B311" s="36"/>
      <c r="C311" s="1">
        <v>2</v>
      </c>
      <c r="D311" s="1">
        <v>100</v>
      </c>
      <c r="E311" s="1">
        <v>140</v>
      </c>
      <c r="F311" s="1" t="e">
        <f>NA()</f>
        <v>#N/A</v>
      </c>
      <c r="G311" s="1" t="e">
        <f>NA()</f>
        <v>#N/A</v>
      </c>
      <c r="H311" s="1" t="e">
        <f>NA()</f>
        <v>#N/A</v>
      </c>
      <c r="I311" s="1" t="e">
        <f>NA()</f>
        <v>#N/A</v>
      </c>
      <c r="J311" s="1" t="e">
        <f>NA()</f>
        <v>#N/A</v>
      </c>
    </row>
    <row r="312" spans="1:10">
      <c r="A312" s="35"/>
      <c r="B312" s="36"/>
      <c r="C312" s="1">
        <v>3</v>
      </c>
      <c r="D312" s="1">
        <v>84</v>
      </c>
      <c r="E312" s="1">
        <v>103</v>
      </c>
      <c r="F312" s="1" t="e">
        <f>NA()</f>
        <v>#N/A</v>
      </c>
      <c r="G312" s="1" t="e">
        <f>NA()</f>
        <v>#N/A</v>
      </c>
      <c r="H312" s="1" t="e">
        <f>NA()</f>
        <v>#N/A</v>
      </c>
      <c r="I312" s="1" t="e">
        <f>NA()</f>
        <v>#N/A</v>
      </c>
      <c r="J312" s="1" t="e">
        <f>NA()</f>
        <v>#N/A</v>
      </c>
    </row>
    <row r="313" spans="1:10">
      <c r="A313" s="35"/>
      <c r="B313" s="36"/>
      <c r="C313" s="1">
        <v>4</v>
      </c>
      <c r="D313" s="1">
        <v>103</v>
      </c>
      <c r="E313" s="1">
        <v>95</v>
      </c>
      <c r="F313" s="1" t="e">
        <f>NA()</f>
        <v>#N/A</v>
      </c>
      <c r="G313" s="1" t="e">
        <f>NA()</f>
        <v>#N/A</v>
      </c>
      <c r="H313" s="1" t="e">
        <f>NA()</f>
        <v>#N/A</v>
      </c>
      <c r="I313" s="1" t="e">
        <f>NA()</f>
        <v>#N/A</v>
      </c>
      <c r="J313" s="1" t="e">
        <f>NA()</f>
        <v>#N/A</v>
      </c>
    </row>
    <row r="314" spans="1:10">
      <c r="A314" s="35"/>
      <c r="B314" s="36"/>
      <c r="C314" s="1">
        <v>5</v>
      </c>
      <c r="D314" s="1">
        <v>136</v>
      </c>
      <c r="E314" s="1">
        <v>144</v>
      </c>
      <c r="F314" s="1" t="e">
        <f>NA()</f>
        <v>#N/A</v>
      </c>
      <c r="G314" s="1" t="e">
        <f>NA()</f>
        <v>#N/A</v>
      </c>
      <c r="H314" s="1" t="e">
        <f>NA()</f>
        <v>#N/A</v>
      </c>
      <c r="I314" s="1" t="e">
        <f>NA()</f>
        <v>#N/A</v>
      </c>
      <c r="J314" s="1" t="e">
        <f>NA()</f>
        <v>#N/A</v>
      </c>
    </row>
    <row r="315" spans="1:10">
      <c r="A315" s="35"/>
      <c r="B315" s="36"/>
      <c r="C315" s="1">
        <v>6</v>
      </c>
      <c r="D315" s="1">
        <v>125</v>
      </c>
      <c r="E315" s="1">
        <v>123</v>
      </c>
      <c r="F315" s="1" t="e">
        <f>NA()</f>
        <v>#N/A</v>
      </c>
      <c r="G315" s="1" t="e">
        <f>NA()</f>
        <v>#N/A</v>
      </c>
      <c r="H315" s="1" t="e">
        <f>NA()</f>
        <v>#N/A</v>
      </c>
      <c r="I315" s="1" t="e">
        <f>NA()</f>
        <v>#N/A</v>
      </c>
      <c r="J315" s="1" t="e">
        <f>NA()</f>
        <v>#N/A</v>
      </c>
    </row>
    <row r="316" spans="1:10">
      <c r="A316" s="35"/>
      <c r="B316" s="36"/>
      <c r="C316" s="1">
        <v>7</v>
      </c>
      <c r="D316" s="1">
        <v>98</v>
      </c>
      <c r="E316" s="1">
        <v>154</v>
      </c>
      <c r="F316" s="1" t="e">
        <f>NA()</f>
        <v>#N/A</v>
      </c>
      <c r="G316" s="1" t="e">
        <f>NA()</f>
        <v>#N/A</v>
      </c>
      <c r="H316" s="1" t="e">
        <f>NA()</f>
        <v>#N/A</v>
      </c>
      <c r="I316" s="1" t="e">
        <f>NA()</f>
        <v>#N/A</v>
      </c>
      <c r="J316" s="1" t="e">
        <f>NA()</f>
        <v>#N/A</v>
      </c>
    </row>
    <row r="317" spans="1:10">
      <c r="A317" s="34" t="s">
        <v>53</v>
      </c>
      <c r="B317" s="36">
        <v>44745</v>
      </c>
      <c r="C317" s="1">
        <v>1</v>
      </c>
      <c r="D317" s="1">
        <v>111</v>
      </c>
      <c r="E317" s="1">
        <v>130</v>
      </c>
      <c r="F317" s="1" t="e">
        <f>NA()</f>
        <v>#N/A</v>
      </c>
      <c r="G317" s="1" t="e">
        <f>NA()</f>
        <v>#N/A</v>
      </c>
      <c r="H317" s="1">
        <v>122</v>
      </c>
      <c r="I317" s="1" t="e">
        <f>NA()</f>
        <v>#N/A</v>
      </c>
      <c r="J317" s="1" t="e">
        <f>NA()</f>
        <v>#N/A</v>
      </c>
    </row>
    <row r="318" spans="1:10">
      <c r="A318" s="35"/>
      <c r="B318" s="36"/>
      <c r="C318" s="1">
        <v>2</v>
      </c>
      <c r="D318" s="1">
        <v>105</v>
      </c>
      <c r="E318" s="1">
        <v>146</v>
      </c>
      <c r="F318" s="1" t="e">
        <f>NA()</f>
        <v>#N/A</v>
      </c>
      <c r="G318" s="1" t="e">
        <f>NA()</f>
        <v>#N/A</v>
      </c>
      <c r="H318" s="1">
        <v>118</v>
      </c>
      <c r="I318" s="1" t="e">
        <f>NA()</f>
        <v>#N/A</v>
      </c>
      <c r="J318" s="1" t="e">
        <f>NA()</f>
        <v>#N/A</v>
      </c>
    </row>
    <row r="319" spans="1:10">
      <c r="A319" s="35"/>
      <c r="B319" s="36"/>
      <c r="C319" s="1">
        <v>3</v>
      </c>
      <c r="D319" s="1">
        <v>117</v>
      </c>
      <c r="E319" s="1">
        <v>122</v>
      </c>
      <c r="F319" s="1" t="e">
        <f>NA()</f>
        <v>#N/A</v>
      </c>
      <c r="G319" s="1" t="e">
        <f>NA()</f>
        <v>#N/A</v>
      </c>
      <c r="H319" s="1">
        <v>124</v>
      </c>
      <c r="I319" s="1" t="e">
        <f>NA()</f>
        <v>#N/A</v>
      </c>
      <c r="J319" s="1" t="e">
        <f>NA()</f>
        <v>#N/A</v>
      </c>
    </row>
    <row r="320" spans="1:10">
      <c r="A320" s="35"/>
      <c r="B320" s="36"/>
      <c r="C320" s="1">
        <v>4</v>
      </c>
      <c r="D320" s="1">
        <v>117</v>
      </c>
      <c r="E320" s="1">
        <v>118</v>
      </c>
      <c r="F320" s="1" t="e">
        <f>NA()</f>
        <v>#N/A</v>
      </c>
      <c r="G320" s="1" t="e">
        <f>NA()</f>
        <v>#N/A</v>
      </c>
      <c r="H320" s="1">
        <v>100</v>
      </c>
      <c r="I320" s="1" t="e">
        <f>NA()</f>
        <v>#N/A</v>
      </c>
      <c r="J320" s="1" t="e">
        <f>NA()</f>
        <v>#N/A</v>
      </c>
    </row>
    <row r="321" spans="1:10">
      <c r="A321" s="35"/>
      <c r="B321" s="36"/>
      <c r="C321" s="1">
        <v>5</v>
      </c>
      <c r="D321" s="1">
        <v>116</v>
      </c>
      <c r="E321" s="1">
        <v>114</v>
      </c>
      <c r="F321" s="1" t="e">
        <f>NA()</f>
        <v>#N/A</v>
      </c>
      <c r="G321" s="1" t="e">
        <f>NA()</f>
        <v>#N/A</v>
      </c>
      <c r="H321" s="1">
        <v>122</v>
      </c>
      <c r="I321" s="1" t="e">
        <f>NA()</f>
        <v>#N/A</v>
      </c>
      <c r="J321" s="1" t="e">
        <f>NA()</f>
        <v>#N/A</v>
      </c>
    </row>
    <row r="322" spans="1:10">
      <c r="A322" s="34" t="s">
        <v>54</v>
      </c>
      <c r="B322" s="36">
        <v>44772</v>
      </c>
      <c r="C322" s="1">
        <v>1</v>
      </c>
      <c r="D322" s="1">
        <v>69</v>
      </c>
      <c r="E322" s="1">
        <v>112</v>
      </c>
      <c r="F322" s="1" t="e">
        <f>NA()</f>
        <v>#N/A</v>
      </c>
      <c r="G322" s="1" t="e">
        <f>NA()</f>
        <v>#N/A</v>
      </c>
      <c r="H322" s="1">
        <v>118</v>
      </c>
      <c r="I322" s="1" t="e">
        <f>NA()</f>
        <v>#N/A</v>
      </c>
      <c r="J322" s="1" t="e">
        <f>NA()</f>
        <v>#N/A</v>
      </c>
    </row>
    <row r="323" spans="1:10">
      <c r="A323" s="35"/>
      <c r="B323" s="36"/>
      <c r="C323" s="1">
        <v>2</v>
      </c>
      <c r="D323" s="1">
        <v>103</v>
      </c>
      <c r="E323" s="1">
        <v>153</v>
      </c>
      <c r="F323" s="1" t="e">
        <f>NA()</f>
        <v>#N/A</v>
      </c>
      <c r="G323" s="1" t="e">
        <f>NA()</f>
        <v>#N/A</v>
      </c>
      <c r="H323" s="1">
        <v>100</v>
      </c>
      <c r="I323" s="1" t="e">
        <f>NA()</f>
        <v>#N/A</v>
      </c>
      <c r="J323" s="1" t="e">
        <f>NA()</f>
        <v>#N/A</v>
      </c>
    </row>
    <row r="324" spans="1:10">
      <c r="A324" s="35"/>
      <c r="B324" s="36"/>
      <c r="C324" s="1">
        <v>3</v>
      </c>
      <c r="D324" s="1">
        <v>103</v>
      </c>
      <c r="E324" s="1">
        <v>144</v>
      </c>
      <c r="F324" s="1" t="e">
        <f>NA()</f>
        <v>#N/A</v>
      </c>
      <c r="G324" s="1" t="e">
        <f>NA()</f>
        <v>#N/A</v>
      </c>
      <c r="H324" s="1">
        <v>97</v>
      </c>
      <c r="I324" s="1" t="e">
        <f>NA()</f>
        <v>#N/A</v>
      </c>
      <c r="J324" s="1" t="e">
        <f>NA()</f>
        <v>#N/A</v>
      </c>
    </row>
    <row r="325" spans="1:10">
      <c r="A325" s="35"/>
      <c r="B325" s="36"/>
      <c r="C325" s="1">
        <v>4</v>
      </c>
      <c r="D325" s="1">
        <v>103</v>
      </c>
      <c r="E325" s="1">
        <v>121</v>
      </c>
      <c r="F325" s="1" t="e">
        <f>NA()</f>
        <v>#N/A</v>
      </c>
      <c r="G325" s="1" t="e">
        <f>NA()</f>
        <v>#N/A</v>
      </c>
      <c r="H325" s="1">
        <v>124</v>
      </c>
      <c r="I325" s="1" t="e">
        <f>NA()</f>
        <v>#N/A</v>
      </c>
      <c r="J325" s="1" t="e">
        <f>NA()</f>
        <v>#N/A</v>
      </c>
    </row>
    <row r="326" spans="1:10">
      <c r="A326" s="35"/>
      <c r="B326" s="36"/>
      <c r="C326" s="1">
        <v>5</v>
      </c>
      <c r="D326" s="1">
        <v>90</v>
      </c>
      <c r="E326" s="1">
        <v>128</v>
      </c>
      <c r="F326" s="1" t="e">
        <f>NA()</f>
        <v>#N/A</v>
      </c>
      <c r="G326" s="1" t="e">
        <f>NA()</f>
        <v>#N/A</v>
      </c>
      <c r="H326" s="1">
        <v>79</v>
      </c>
      <c r="I326" s="1" t="e">
        <f>NA()</f>
        <v>#N/A</v>
      </c>
      <c r="J326" s="1" t="e">
        <f>NA()</f>
        <v>#N/A</v>
      </c>
    </row>
    <row r="327" spans="1:10">
      <c r="A327" s="34" t="s">
        <v>55</v>
      </c>
      <c r="B327" s="36">
        <v>44836</v>
      </c>
      <c r="C327" s="1">
        <v>1</v>
      </c>
      <c r="D327" s="1">
        <v>117</v>
      </c>
      <c r="E327" s="1">
        <v>148</v>
      </c>
      <c r="F327" s="1" t="e">
        <f>NA()</f>
        <v>#N/A</v>
      </c>
      <c r="G327" s="1" t="e">
        <f>NA()</f>
        <v>#N/A</v>
      </c>
      <c r="H327" s="1">
        <v>109</v>
      </c>
      <c r="I327" s="1" t="e">
        <f>NA()</f>
        <v>#N/A</v>
      </c>
      <c r="J327" s="1" t="e">
        <f>NA()</f>
        <v>#N/A</v>
      </c>
    </row>
    <row r="328" spans="1:10">
      <c r="A328" s="35"/>
      <c r="B328" s="36"/>
      <c r="C328" s="1">
        <v>2</v>
      </c>
      <c r="D328" s="1">
        <v>125</v>
      </c>
      <c r="E328" s="1">
        <v>95</v>
      </c>
      <c r="F328" s="1" t="e">
        <f>NA()</f>
        <v>#N/A</v>
      </c>
      <c r="G328" s="1" t="e">
        <f>NA()</f>
        <v>#N/A</v>
      </c>
      <c r="H328" s="1">
        <v>135</v>
      </c>
      <c r="I328" s="1" t="e">
        <f>NA()</f>
        <v>#N/A</v>
      </c>
      <c r="J328" s="1" t="e">
        <f>NA()</f>
        <v>#N/A</v>
      </c>
    </row>
    <row r="329" spans="1:10">
      <c r="A329" s="35"/>
      <c r="B329" s="36"/>
      <c r="C329" s="1">
        <v>3</v>
      </c>
      <c r="D329" s="1">
        <v>116</v>
      </c>
      <c r="E329" s="1">
        <v>172</v>
      </c>
      <c r="F329" s="1" t="e">
        <f>NA()</f>
        <v>#N/A</v>
      </c>
      <c r="G329" s="1" t="e">
        <f>NA()</f>
        <v>#N/A</v>
      </c>
      <c r="H329" s="1">
        <v>109</v>
      </c>
      <c r="I329" s="1" t="e">
        <f>NA()</f>
        <v>#N/A</v>
      </c>
      <c r="J329" s="1" t="e">
        <f>NA()</f>
        <v>#N/A</v>
      </c>
    </row>
    <row r="330" spans="1:10">
      <c r="A330" s="35"/>
      <c r="B330" s="36"/>
      <c r="C330" s="1">
        <v>4</v>
      </c>
      <c r="D330" s="1">
        <v>98</v>
      </c>
      <c r="E330" s="1">
        <v>173</v>
      </c>
      <c r="F330" s="1" t="e">
        <f>NA()</f>
        <v>#N/A</v>
      </c>
      <c r="G330" s="1" t="e">
        <f>NA()</f>
        <v>#N/A</v>
      </c>
      <c r="H330" s="1">
        <v>127</v>
      </c>
      <c r="I330" s="1" t="e">
        <f>NA()</f>
        <v>#N/A</v>
      </c>
      <c r="J330" s="1" t="e">
        <f>NA()</f>
        <v>#N/A</v>
      </c>
    </row>
    <row r="331" spans="1:10">
      <c r="A331" s="35"/>
      <c r="B331" s="36"/>
      <c r="C331" s="1">
        <v>5</v>
      </c>
      <c r="D331" s="1">
        <v>84</v>
      </c>
      <c r="E331" s="1">
        <v>111</v>
      </c>
      <c r="F331" s="1" t="e">
        <f>NA()</f>
        <v>#N/A</v>
      </c>
      <c r="G331" s="1" t="e">
        <f>NA()</f>
        <v>#N/A</v>
      </c>
      <c r="H331" s="1">
        <v>104</v>
      </c>
      <c r="I331" s="1" t="e">
        <f>NA()</f>
        <v>#N/A</v>
      </c>
      <c r="J331" s="1" t="e">
        <f>NA()</f>
        <v>#N/A</v>
      </c>
    </row>
    <row r="332" spans="1:10">
      <c r="A332" s="34" t="s">
        <v>56</v>
      </c>
      <c r="B332" s="36">
        <v>44850</v>
      </c>
      <c r="C332" s="1">
        <v>1</v>
      </c>
      <c r="D332" s="1">
        <v>110</v>
      </c>
      <c r="E332" s="1">
        <v>178</v>
      </c>
      <c r="F332" s="1" t="e">
        <f>NA()</f>
        <v>#N/A</v>
      </c>
      <c r="G332" s="1" t="e">
        <f>NA()</f>
        <v>#N/A</v>
      </c>
      <c r="H332" s="1">
        <v>121</v>
      </c>
      <c r="I332" s="1" t="e">
        <f>NA()</f>
        <v>#N/A</v>
      </c>
      <c r="J332" s="1" t="e">
        <f>NA()</f>
        <v>#N/A</v>
      </c>
    </row>
    <row r="333" spans="1:10">
      <c r="A333" s="35"/>
      <c r="B333" s="36"/>
      <c r="C333" s="1">
        <v>2</v>
      </c>
      <c r="D333" s="1">
        <v>112</v>
      </c>
      <c r="E333" s="1">
        <v>102</v>
      </c>
      <c r="F333" s="1" t="e">
        <f>NA()</f>
        <v>#N/A</v>
      </c>
      <c r="G333" s="1" t="e">
        <f>NA()</f>
        <v>#N/A</v>
      </c>
      <c r="H333" s="1">
        <v>102</v>
      </c>
      <c r="I333" s="1" t="e">
        <f>NA()</f>
        <v>#N/A</v>
      </c>
      <c r="J333" s="1" t="e">
        <f>NA()</f>
        <v>#N/A</v>
      </c>
    </row>
    <row r="334" spans="1:10">
      <c r="A334" s="35"/>
      <c r="B334" s="36"/>
      <c r="C334" s="1">
        <v>3</v>
      </c>
      <c r="D334" s="1">
        <v>109</v>
      </c>
      <c r="E334" s="1">
        <v>147</v>
      </c>
      <c r="F334" s="1" t="e">
        <f>NA()</f>
        <v>#N/A</v>
      </c>
      <c r="G334" s="1" t="e">
        <f>NA()</f>
        <v>#N/A</v>
      </c>
      <c r="H334" s="1">
        <v>106</v>
      </c>
      <c r="I334" s="1" t="e">
        <f>NA()</f>
        <v>#N/A</v>
      </c>
      <c r="J334" s="1" t="e">
        <f>NA()</f>
        <v>#N/A</v>
      </c>
    </row>
    <row r="335" spans="1:10">
      <c r="A335" s="35"/>
      <c r="B335" s="36"/>
      <c r="C335" s="1">
        <v>4</v>
      </c>
      <c r="D335" s="1">
        <v>82</v>
      </c>
      <c r="E335" s="1">
        <v>151</v>
      </c>
      <c r="F335" s="1" t="e">
        <f>NA()</f>
        <v>#N/A</v>
      </c>
      <c r="G335" s="1" t="e">
        <f>NA()</f>
        <v>#N/A</v>
      </c>
      <c r="H335" s="1">
        <v>95</v>
      </c>
      <c r="I335" s="1" t="e">
        <f>NA()</f>
        <v>#N/A</v>
      </c>
      <c r="J335" s="1" t="e">
        <f>NA()</f>
        <v>#N/A</v>
      </c>
    </row>
    <row r="336" spans="1:10">
      <c r="A336" s="35"/>
      <c r="B336" s="36"/>
      <c r="C336" s="1">
        <v>5</v>
      </c>
      <c r="D336" s="1">
        <v>132</v>
      </c>
      <c r="E336" s="1">
        <v>174</v>
      </c>
      <c r="F336" s="1" t="e">
        <f>NA()</f>
        <v>#N/A</v>
      </c>
      <c r="G336" s="1" t="e">
        <f>NA()</f>
        <v>#N/A</v>
      </c>
      <c r="H336" s="1">
        <v>99</v>
      </c>
      <c r="I336" s="1" t="e">
        <f>NA()</f>
        <v>#N/A</v>
      </c>
      <c r="J336" s="1" t="e">
        <f>NA()</f>
        <v>#N/A</v>
      </c>
    </row>
    <row r="337" spans="1:10">
      <c r="A337" s="34" t="s">
        <v>57</v>
      </c>
      <c r="B337" s="36">
        <v>44891</v>
      </c>
      <c r="C337" s="1">
        <v>1</v>
      </c>
      <c r="D337" s="1">
        <v>111</v>
      </c>
      <c r="E337" s="1">
        <v>105</v>
      </c>
      <c r="F337" s="1" t="e">
        <f>NA()</f>
        <v>#N/A</v>
      </c>
      <c r="G337" s="1" t="e">
        <f>NA()</f>
        <v>#N/A</v>
      </c>
      <c r="H337" s="1">
        <v>87</v>
      </c>
      <c r="I337" s="1" t="e">
        <f>NA()</f>
        <v>#N/A</v>
      </c>
      <c r="J337" s="1" t="e">
        <f>NA()</f>
        <v>#N/A</v>
      </c>
    </row>
    <row r="338" spans="1:10">
      <c r="A338" s="35"/>
      <c r="B338" s="36"/>
      <c r="C338" s="1">
        <v>2</v>
      </c>
      <c r="D338" s="1">
        <v>98</v>
      </c>
      <c r="E338" s="1">
        <v>138</v>
      </c>
      <c r="F338" s="1" t="e">
        <f>NA()</f>
        <v>#N/A</v>
      </c>
      <c r="G338" s="1" t="e">
        <f>NA()</f>
        <v>#N/A</v>
      </c>
      <c r="H338" s="1">
        <v>97</v>
      </c>
      <c r="I338" s="1" t="e">
        <f>NA()</f>
        <v>#N/A</v>
      </c>
      <c r="J338" s="1" t="e">
        <f>NA()</f>
        <v>#N/A</v>
      </c>
    </row>
    <row r="339" spans="1:10">
      <c r="A339" s="35"/>
      <c r="B339" s="36"/>
      <c r="C339" s="1">
        <v>3</v>
      </c>
      <c r="D339" s="1">
        <v>103</v>
      </c>
      <c r="E339" s="1">
        <v>124</v>
      </c>
      <c r="F339" s="1" t="e">
        <f>NA()</f>
        <v>#N/A</v>
      </c>
      <c r="G339" s="1" t="e">
        <f>NA()</f>
        <v>#N/A</v>
      </c>
      <c r="H339" s="1">
        <v>113</v>
      </c>
      <c r="I339" s="1" t="e">
        <f>NA()</f>
        <v>#N/A</v>
      </c>
      <c r="J339" s="1" t="e">
        <f>NA()</f>
        <v>#N/A</v>
      </c>
    </row>
    <row r="340" spans="1:10">
      <c r="A340" s="35"/>
      <c r="B340" s="36"/>
      <c r="C340" s="1">
        <v>4</v>
      </c>
      <c r="D340" s="1">
        <v>143</v>
      </c>
      <c r="E340" s="1">
        <v>146</v>
      </c>
      <c r="F340" s="1" t="e">
        <f>NA()</f>
        <v>#N/A</v>
      </c>
      <c r="G340" s="1" t="e">
        <f>NA()</f>
        <v>#N/A</v>
      </c>
      <c r="H340" s="1">
        <v>105</v>
      </c>
      <c r="I340" s="1" t="e">
        <f>NA()</f>
        <v>#N/A</v>
      </c>
      <c r="J340" s="1" t="e">
        <f>NA()</f>
        <v>#N/A</v>
      </c>
    </row>
    <row r="341" spans="1:10">
      <c r="A341" s="35"/>
      <c r="B341" s="36"/>
      <c r="C341" s="1">
        <v>5</v>
      </c>
      <c r="D341" s="1">
        <v>114</v>
      </c>
      <c r="E341" s="1">
        <v>141</v>
      </c>
      <c r="F341" s="1" t="e">
        <f>NA()</f>
        <v>#N/A</v>
      </c>
      <c r="G341" s="1" t="e">
        <f>NA()</f>
        <v>#N/A</v>
      </c>
      <c r="H341" s="1">
        <v>133</v>
      </c>
      <c r="I341" s="1" t="e">
        <f>NA()</f>
        <v>#N/A</v>
      </c>
      <c r="J341" s="1" t="e">
        <f>NA()</f>
        <v>#N/A</v>
      </c>
    </row>
    <row r="342" spans="1:10">
      <c r="A342" s="35"/>
      <c r="B342" s="36"/>
      <c r="C342" s="1">
        <v>6</v>
      </c>
      <c r="D342" s="1">
        <v>81</v>
      </c>
      <c r="E342" s="1">
        <v>148</v>
      </c>
      <c r="F342" s="1" t="e">
        <f>NA()</f>
        <v>#N/A</v>
      </c>
      <c r="G342" s="1" t="e">
        <f>NA()</f>
        <v>#N/A</v>
      </c>
      <c r="H342" s="1">
        <v>137</v>
      </c>
      <c r="I342" s="1" t="e">
        <f>NA()</f>
        <v>#N/A</v>
      </c>
      <c r="J342" s="1" t="e">
        <f>NA()</f>
        <v>#N/A</v>
      </c>
    </row>
    <row r="343" spans="1:10">
      <c r="A343" s="35"/>
      <c r="B343" s="36"/>
      <c r="C343" s="1">
        <v>7</v>
      </c>
      <c r="D343" s="1">
        <v>99</v>
      </c>
      <c r="E343" s="1">
        <v>138</v>
      </c>
      <c r="F343" s="1" t="e">
        <f>NA()</f>
        <v>#N/A</v>
      </c>
      <c r="G343" s="1" t="e">
        <f>NA()</f>
        <v>#N/A</v>
      </c>
      <c r="H343" s="1">
        <v>113</v>
      </c>
      <c r="I343" s="1" t="e">
        <f>NA()</f>
        <v>#N/A</v>
      </c>
      <c r="J343" s="1" t="e">
        <f>NA()</f>
        <v>#N/A</v>
      </c>
    </row>
    <row r="344" spans="1:10">
      <c r="A344" s="35"/>
      <c r="B344" s="36"/>
      <c r="C344" s="1">
        <v>8</v>
      </c>
      <c r="D344" s="1">
        <v>125</v>
      </c>
      <c r="E344" s="1">
        <v>135</v>
      </c>
      <c r="F344" s="1" t="e">
        <f>NA()</f>
        <v>#N/A</v>
      </c>
      <c r="G344" s="1" t="e">
        <f>NA()</f>
        <v>#N/A</v>
      </c>
      <c r="H344" s="1">
        <v>111</v>
      </c>
      <c r="I344" s="1" t="e">
        <f>NA()</f>
        <v>#N/A</v>
      </c>
      <c r="J344" s="1" t="e">
        <f>NA()</f>
        <v>#N/A</v>
      </c>
    </row>
    <row r="345" spans="1:10">
      <c r="A345" s="34" t="s">
        <v>58</v>
      </c>
      <c r="B345" s="36">
        <v>45020</v>
      </c>
      <c r="C345" s="1">
        <v>1</v>
      </c>
      <c r="D345" s="1">
        <v>78</v>
      </c>
      <c r="E345" s="1">
        <v>113</v>
      </c>
      <c r="F345" s="1" t="e">
        <f>NA()</f>
        <v>#N/A</v>
      </c>
      <c r="G345" s="1" t="e">
        <f>NA()</f>
        <v>#N/A</v>
      </c>
      <c r="H345" s="1">
        <v>96</v>
      </c>
      <c r="I345" s="1" t="e">
        <f>NA()</f>
        <v>#N/A</v>
      </c>
      <c r="J345" s="1" t="e">
        <f>NA()</f>
        <v>#N/A</v>
      </c>
    </row>
    <row r="346" spans="1:10">
      <c r="A346" s="35"/>
      <c r="B346" s="36"/>
      <c r="C346" s="1">
        <v>2</v>
      </c>
      <c r="D346" s="1">
        <v>108</v>
      </c>
      <c r="E346" s="1">
        <v>122</v>
      </c>
      <c r="F346" s="1" t="e">
        <f>NA()</f>
        <v>#N/A</v>
      </c>
      <c r="G346" s="1" t="e">
        <f>NA()</f>
        <v>#N/A</v>
      </c>
      <c r="H346" s="1">
        <v>114</v>
      </c>
      <c r="I346" s="1" t="e">
        <f>NA()</f>
        <v>#N/A</v>
      </c>
      <c r="J346" s="1" t="e">
        <f>NA()</f>
        <v>#N/A</v>
      </c>
    </row>
    <row r="347" spans="1:10">
      <c r="A347" s="35"/>
      <c r="B347" s="36"/>
      <c r="C347" s="1">
        <v>3</v>
      </c>
      <c r="D347" s="1">
        <v>94</v>
      </c>
      <c r="E347" s="1">
        <v>136</v>
      </c>
      <c r="F347" s="1" t="e">
        <f>NA()</f>
        <v>#N/A</v>
      </c>
      <c r="G347" s="1" t="e">
        <f>NA()</f>
        <v>#N/A</v>
      </c>
      <c r="H347" s="1">
        <v>112</v>
      </c>
      <c r="I347" s="1" t="e">
        <f>NA()</f>
        <v>#N/A</v>
      </c>
      <c r="J347" s="1" t="e">
        <f>NA()</f>
        <v>#N/A</v>
      </c>
    </row>
    <row r="348" spans="1:10">
      <c r="A348" s="35"/>
      <c r="B348" s="36"/>
      <c r="C348" s="1">
        <v>4</v>
      </c>
      <c r="D348" s="1">
        <v>90</v>
      </c>
      <c r="E348" s="1">
        <v>115</v>
      </c>
      <c r="F348" s="1" t="e">
        <f>NA()</f>
        <v>#N/A</v>
      </c>
      <c r="G348" s="1" t="e">
        <f>NA()</f>
        <v>#N/A</v>
      </c>
      <c r="H348" s="1">
        <v>94</v>
      </c>
      <c r="I348" s="1" t="e">
        <f>NA()</f>
        <v>#N/A</v>
      </c>
      <c r="J348" s="1" t="e">
        <f>NA()</f>
        <v>#N/A</v>
      </c>
    </row>
    <row r="349" spans="1:10">
      <c r="A349" s="35"/>
      <c r="B349" s="36"/>
      <c r="C349" s="1">
        <v>5</v>
      </c>
      <c r="D349" s="1">
        <v>110</v>
      </c>
      <c r="E349" s="1">
        <v>152</v>
      </c>
      <c r="F349" s="1" t="e">
        <f>NA()</f>
        <v>#N/A</v>
      </c>
      <c r="G349" s="1" t="e">
        <f>NA()</f>
        <v>#N/A</v>
      </c>
      <c r="H349" s="1">
        <v>107</v>
      </c>
      <c r="I349" s="1" t="e">
        <f>NA()</f>
        <v>#N/A</v>
      </c>
      <c r="J349" s="1" t="e">
        <f>NA()</f>
        <v>#N/A</v>
      </c>
    </row>
    <row r="350" spans="1:10">
      <c r="A350" s="34" t="s">
        <v>59</v>
      </c>
      <c r="B350" s="36">
        <v>45045</v>
      </c>
      <c r="C350" s="1">
        <v>1</v>
      </c>
      <c r="D350" s="1">
        <v>94</v>
      </c>
      <c r="E350" s="1">
        <v>165</v>
      </c>
      <c r="F350" s="1" t="e">
        <f>NA()</f>
        <v>#N/A</v>
      </c>
      <c r="G350" s="1" t="e">
        <f>NA()</f>
        <v>#N/A</v>
      </c>
      <c r="H350" s="1">
        <v>136</v>
      </c>
      <c r="I350" s="1" t="e">
        <f>NA()</f>
        <v>#N/A</v>
      </c>
      <c r="J350" s="1" t="e">
        <f>NA()</f>
        <v>#N/A</v>
      </c>
    </row>
    <row r="351" spans="1:10">
      <c r="A351" s="35"/>
      <c r="B351" s="36"/>
      <c r="C351" s="1">
        <v>2</v>
      </c>
      <c r="D351" s="1">
        <v>142</v>
      </c>
      <c r="E351" s="1">
        <v>145</v>
      </c>
      <c r="F351" s="1" t="e">
        <f>NA()</f>
        <v>#N/A</v>
      </c>
      <c r="G351" s="1" t="e">
        <f>NA()</f>
        <v>#N/A</v>
      </c>
      <c r="H351" s="1">
        <v>79</v>
      </c>
      <c r="I351" s="1" t="e">
        <f>NA()</f>
        <v>#N/A</v>
      </c>
      <c r="J351" s="1" t="e">
        <f>NA()</f>
        <v>#N/A</v>
      </c>
    </row>
    <row r="352" spans="1:10">
      <c r="A352" s="35"/>
      <c r="B352" s="36"/>
      <c r="C352" s="1">
        <v>3</v>
      </c>
      <c r="D352" s="1">
        <v>139</v>
      </c>
      <c r="E352" s="1">
        <v>135</v>
      </c>
      <c r="F352" s="1" t="e">
        <f>NA()</f>
        <v>#N/A</v>
      </c>
      <c r="G352" s="1" t="e">
        <f>NA()</f>
        <v>#N/A</v>
      </c>
      <c r="H352" s="1">
        <v>104</v>
      </c>
      <c r="I352" s="1" t="e">
        <f>NA()</f>
        <v>#N/A</v>
      </c>
      <c r="J352" s="1" t="e">
        <f>NA()</f>
        <v>#N/A</v>
      </c>
    </row>
    <row r="353" spans="1:10">
      <c r="A353" s="35"/>
      <c r="B353" s="36"/>
      <c r="C353" s="1">
        <v>4</v>
      </c>
      <c r="D353" s="1">
        <v>114</v>
      </c>
      <c r="E353" s="1">
        <v>222</v>
      </c>
      <c r="F353" s="1" t="e">
        <f>NA()</f>
        <v>#N/A</v>
      </c>
      <c r="G353" s="1" t="e">
        <f>NA()</f>
        <v>#N/A</v>
      </c>
      <c r="H353" s="1">
        <v>169</v>
      </c>
      <c r="I353" s="1" t="e">
        <f>NA()</f>
        <v>#N/A</v>
      </c>
      <c r="J353" s="1" t="e">
        <f>NA()</f>
        <v>#N/A</v>
      </c>
    </row>
    <row r="354" spans="1:10">
      <c r="A354" s="35"/>
      <c r="B354" s="36"/>
      <c r="C354" s="1">
        <v>5</v>
      </c>
      <c r="D354" s="1">
        <v>112</v>
      </c>
      <c r="E354" s="1">
        <v>154</v>
      </c>
      <c r="F354" s="1" t="e">
        <f>NA()</f>
        <v>#N/A</v>
      </c>
      <c r="G354" s="1" t="e">
        <f>NA()</f>
        <v>#N/A</v>
      </c>
      <c r="H354" s="1">
        <v>87</v>
      </c>
      <c r="I354" s="1" t="e">
        <f>NA()</f>
        <v>#N/A</v>
      </c>
      <c r="J354" s="1" t="e">
        <f>NA()</f>
        <v>#N/A</v>
      </c>
    </row>
    <row r="355" spans="1:10">
      <c r="A355" s="34" t="s">
        <v>60</v>
      </c>
      <c r="B355" s="36">
        <v>45074</v>
      </c>
      <c r="C355" s="1">
        <v>1</v>
      </c>
      <c r="D355" s="1">
        <v>127</v>
      </c>
      <c r="E355" s="1">
        <v>142</v>
      </c>
      <c r="F355" s="1" t="e">
        <f>NA()</f>
        <v>#N/A</v>
      </c>
      <c r="G355" s="1" t="e">
        <f>NA()</f>
        <v>#N/A</v>
      </c>
      <c r="H355" s="1">
        <v>134</v>
      </c>
      <c r="I355" s="1" t="e">
        <f>NA()</f>
        <v>#N/A</v>
      </c>
      <c r="J355" s="1" t="e">
        <f>NA()</f>
        <v>#N/A</v>
      </c>
    </row>
    <row r="356" spans="1:10">
      <c r="A356" s="35"/>
      <c r="B356" s="36"/>
      <c r="C356" s="1">
        <v>2</v>
      </c>
      <c r="D356" s="1">
        <v>124</v>
      </c>
      <c r="E356" s="1">
        <v>149</v>
      </c>
      <c r="F356" s="1" t="e">
        <f>NA()</f>
        <v>#N/A</v>
      </c>
      <c r="G356" s="1" t="e">
        <f>NA()</f>
        <v>#N/A</v>
      </c>
      <c r="H356" s="1">
        <v>146</v>
      </c>
      <c r="I356" s="1" t="e">
        <f>NA()</f>
        <v>#N/A</v>
      </c>
      <c r="J356" s="1" t="e">
        <f>NA()</f>
        <v>#N/A</v>
      </c>
    </row>
    <row r="357" spans="1:10">
      <c r="A357" s="35"/>
      <c r="B357" s="36"/>
      <c r="C357" s="1">
        <v>3</v>
      </c>
      <c r="D357" s="1">
        <v>110</v>
      </c>
      <c r="E357" s="1">
        <v>149</v>
      </c>
      <c r="F357" s="1" t="e">
        <f>NA()</f>
        <v>#N/A</v>
      </c>
      <c r="G357" s="1" t="e">
        <f>NA()</f>
        <v>#N/A</v>
      </c>
      <c r="H357" s="1">
        <v>84</v>
      </c>
      <c r="I357" s="1" t="e">
        <f>NA()</f>
        <v>#N/A</v>
      </c>
      <c r="J357" s="1" t="e">
        <f>NA()</f>
        <v>#N/A</v>
      </c>
    </row>
    <row r="358" spans="1:10">
      <c r="A358" s="35"/>
      <c r="B358" s="36"/>
      <c r="C358" s="1">
        <v>4</v>
      </c>
      <c r="D358" s="1">
        <v>119</v>
      </c>
      <c r="E358" s="1">
        <v>162</v>
      </c>
      <c r="F358" s="1" t="e">
        <f>NA()</f>
        <v>#N/A</v>
      </c>
      <c r="G358" s="1" t="e">
        <f>NA()</f>
        <v>#N/A</v>
      </c>
      <c r="H358" s="1">
        <v>137</v>
      </c>
      <c r="I358" s="1" t="e">
        <f>NA()</f>
        <v>#N/A</v>
      </c>
      <c r="J358" s="1" t="e">
        <f>NA()</f>
        <v>#N/A</v>
      </c>
    </row>
    <row r="359" spans="1:10">
      <c r="A359" s="35"/>
      <c r="B359" s="36"/>
      <c r="C359" s="1">
        <v>5</v>
      </c>
      <c r="D359" s="1">
        <v>101</v>
      </c>
      <c r="E359" s="1">
        <v>138</v>
      </c>
      <c r="F359" s="1" t="e">
        <f>NA()</f>
        <v>#N/A</v>
      </c>
      <c r="G359" s="1" t="e">
        <f>NA()</f>
        <v>#N/A</v>
      </c>
      <c r="H359" s="1">
        <v>98</v>
      </c>
      <c r="I359" s="1" t="e">
        <f>NA()</f>
        <v>#N/A</v>
      </c>
      <c r="J359" s="1" t="e">
        <f>NA()</f>
        <v>#N/A</v>
      </c>
    </row>
    <row r="360" spans="1:10">
      <c r="A360" s="34" t="s">
        <v>61</v>
      </c>
      <c r="B360" s="36">
        <v>45095</v>
      </c>
      <c r="C360" s="1">
        <v>1</v>
      </c>
      <c r="D360" s="1">
        <v>98</v>
      </c>
      <c r="E360" s="1">
        <v>121</v>
      </c>
      <c r="F360" s="1" t="e">
        <f>NA()</f>
        <v>#N/A</v>
      </c>
      <c r="G360" s="1" t="e">
        <f>NA()</f>
        <v>#N/A</v>
      </c>
      <c r="H360" s="1">
        <v>79</v>
      </c>
      <c r="I360" s="1" t="e">
        <f>NA()</f>
        <v>#N/A</v>
      </c>
      <c r="J360" s="1" t="e">
        <f>NA()</f>
        <v>#N/A</v>
      </c>
    </row>
    <row r="361" spans="1:10">
      <c r="A361" s="35"/>
      <c r="B361" s="36"/>
      <c r="C361" s="1">
        <v>2</v>
      </c>
      <c r="D361" s="1">
        <v>145</v>
      </c>
      <c r="E361" s="1">
        <v>184</v>
      </c>
      <c r="F361" s="1" t="e">
        <f>NA()</f>
        <v>#N/A</v>
      </c>
      <c r="G361" s="1" t="e">
        <f>NA()</f>
        <v>#N/A</v>
      </c>
      <c r="H361" s="1">
        <v>83</v>
      </c>
      <c r="I361" s="1" t="e">
        <f>NA()</f>
        <v>#N/A</v>
      </c>
      <c r="J361" s="1" t="e">
        <f>NA()</f>
        <v>#N/A</v>
      </c>
    </row>
    <row r="362" spans="1:10">
      <c r="A362" s="35"/>
      <c r="B362" s="36"/>
      <c r="C362" s="1">
        <v>3</v>
      </c>
      <c r="D362" s="1">
        <v>134</v>
      </c>
      <c r="E362" s="1">
        <v>169</v>
      </c>
      <c r="F362" s="1" t="e">
        <f>NA()</f>
        <v>#N/A</v>
      </c>
      <c r="G362" s="1" t="e">
        <f>NA()</f>
        <v>#N/A</v>
      </c>
      <c r="H362" s="1">
        <v>94</v>
      </c>
      <c r="I362" s="1" t="e">
        <f>NA()</f>
        <v>#N/A</v>
      </c>
      <c r="J362" s="1" t="e">
        <f>NA()</f>
        <v>#N/A</v>
      </c>
    </row>
    <row r="363" spans="1:10">
      <c r="A363" s="35"/>
      <c r="B363" s="36"/>
      <c r="C363" s="1">
        <v>4</v>
      </c>
      <c r="D363" s="1">
        <v>135</v>
      </c>
      <c r="E363" s="1">
        <v>124</v>
      </c>
      <c r="F363" s="1" t="e">
        <f>NA()</f>
        <v>#N/A</v>
      </c>
      <c r="G363" s="1" t="e">
        <f>NA()</f>
        <v>#N/A</v>
      </c>
      <c r="H363" s="1">
        <v>100</v>
      </c>
      <c r="I363" s="1" t="e">
        <f>NA()</f>
        <v>#N/A</v>
      </c>
      <c r="J363" s="1" t="e">
        <f>NA()</f>
        <v>#N/A</v>
      </c>
    </row>
    <row r="364" spans="1:10">
      <c r="A364" s="35"/>
      <c r="B364" s="36"/>
      <c r="C364" s="1">
        <v>5</v>
      </c>
      <c r="D364" s="1">
        <v>120</v>
      </c>
      <c r="E364" s="1">
        <v>120</v>
      </c>
      <c r="F364" s="1" t="e">
        <f>NA()</f>
        <v>#N/A</v>
      </c>
      <c r="G364" s="1" t="e">
        <f>NA()</f>
        <v>#N/A</v>
      </c>
      <c r="H364" s="1">
        <v>100</v>
      </c>
      <c r="I364" s="1" t="e">
        <f>NA()</f>
        <v>#N/A</v>
      </c>
      <c r="J364" s="1" t="e">
        <f>NA()</f>
        <v>#N/A</v>
      </c>
    </row>
    <row r="365" spans="1:10">
      <c r="A365" s="34" t="s">
        <v>62</v>
      </c>
      <c r="B365" s="36">
        <v>45130</v>
      </c>
      <c r="C365" s="1">
        <v>1</v>
      </c>
      <c r="D365" s="1">
        <v>131</v>
      </c>
      <c r="E365" s="1">
        <v>103</v>
      </c>
      <c r="F365" s="1" t="e">
        <f>NA()</f>
        <v>#N/A</v>
      </c>
      <c r="G365" s="1" t="e">
        <f>NA()</f>
        <v>#N/A</v>
      </c>
      <c r="H365" s="1">
        <v>118</v>
      </c>
      <c r="I365" s="1" t="e">
        <f>NA()</f>
        <v>#N/A</v>
      </c>
      <c r="J365" s="1" t="e">
        <f>NA()</f>
        <v>#N/A</v>
      </c>
    </row>
    <row r="366" spans="1:10">
      <c r="A366" s="35"/>
      <c r="B366" s="36"/>
      <c r="C366" s="1">
        <v>2</v>
      </c>
      <c r="D366" s="1">
        <v>118</v>
      </c>
      <c r="E366" s="1">
        <v>120</v>
      </c>
      <c r="F366" s="1" t="e">
        <f>NA()</f>
        <v>#N/A</v>
      </c>
      <c r="G366" s="1" t="e">
        <f>NA()</f>
        <v>#N/A</v>
      </c>
      <c r="H366" s="1">
        <v>91</v>
      </c>
      <c r="I366" s="1" t="e">
        <f>NA()</f>
        <v>#N/A</v>
      </c>
      <c r="J366" s="1" t="e">
        <f>NA()</f>
        <v>#N/A</v>
      </c>
    </row>
    <row r="367" spans="1:10">
      <c r="A367" s="35"/>
      <c r="B367" s="36"/>
      <c r="C367" s="1">
        <v>3</v>
      </c>
      <c r="D367" s="1">
        <v>104</v>
      </c>
      <c r="E367" s="1">
        <v>140</v>
      </c>
      <c r="F367" s="1" t="e">
        <f>NA()</f>
        <v>#N/A</v>
      </c>
      <c r="G367" s="1" t="e">
        <f>NA()</f>
        <v>#N/A</v>
      </c>
      <c r="H367" s="1">
        <v>95</v>
      </c>
      <c r="I367" s="1" t="e">
        <f>NA()</f>
        <v>#N/A</v>
      </c>
      <c r="J367" s="1" t="e">
        <f>NA()</f>
        <v>#N/A</v>
      </c>
    </row>
    <row r="368" spans="1:10">
      <c r="A368" s="35"/>
      <c r="B368" s="36"/>
      <c r="C368" s="1">
        <v>4</v>
      </c>
      <c r="D368" s="1">
        <v>150</v>
      </c>
      <c r="E368" s="1">
        <v>140</v>
      </c>
      <c r="F368" s="1" t="e">
        <f>NA()</f>
        <v>#N/A</v>
      </c>
      <c r="G368" s="1" t="e">
        <f>NA()</f>
        <v>#N/A</v>
      </c>
      <c r="H368" s="1">
        <v>119</v>
      </c>
      <c r="I368" s="1" t="e">
        <f>NA()</f>
        <v>#N/A</v>
      </c>
      <c r="J368" s="1" t="e">
        <f>NA()</f>
        <v>#N/A</v>
      </c>
    </row>
    <row r="369" spans="1:10">
      <c r="A369" s="35"/>
      <c r="B369" s="36"/>
      <c r="C369" s="1">
        <v>5</v>
      </c>
      <c r="D369" s="1">
        <v>118</v>
      </c>
      <c r="E369" s="1">
        <v>124</v>
      </c>
      <c r="F369" s="1" t="e">
        <f>NA()</f>
        <v>#N/A</v>
      </c>
      <c r="G369" s="1" t="e">
        <f>NA()</f>
        <v>#N/A</v>
      </c>
      <c r="H369" s="1">
        <v>110</v>
      </c>
      <c r="I369" s="1" t="e">
        <f>NA()</f>
        <v>#N/A</v>
      </c>
      <c r="J369" s="1" t="e">
        <f>NA()</f>
        <v>#N/A</v>
      </c>
    </row>
    <row r="370" spans="1:10">
      <c r="A370" s="34" t="s">
        <v>63</v>
      </c>
      <c r="B370" s="36">
        <v>45165</v>
      </c>
      <c r="C370" s="1">
        <v>1</v>
      </c>
      <c r="D370" s="1">
        <v>161</v>
      </c>
      <c r="E370" s="1">
        <v>150</v>
      </c>
      <c r="F370" s="1" t="e">
        <f>NA()</f>
        <v>#N/A</v>
      </c>
      <c r="G370" s="1" t="e">
        <f>NA()</f>
        <v>#N/A</v>
      </c>
      <c r="H370" s="1">
        <v>104</v>
      </c>
      <c r="I370" s="1" t="e">
        <f>NA()</f>
        <v>#N/A</v>
      </c>
      <c r="J370" s="1" t="e">
        <f>NA()</f>
        <v>#N/A</v>
      </c>
    </row>
    <row r="371" spans="1:10">
      <c r="A371" s="35"/>
      <c r="B371" s="36"/>
      <c r="C371" s="1">
        <v>2</v>
      </c>
      <c r="D371" s="1">
        <v>136</v>
      </c>
      <c r="E371" s="1">
        <v>182</v>
      </c>
      <c r="F371" s="1" t="e">
        <f>NA()</f>
        <v>#N/A</v>
      </c>
      <c r="G371" s="1" t="e">
        <f>NA()</f>
        <v>#N/A</v>
      </c>
      <c r="H371" s="1">
        <v>98</v>
      </c>
      <c r="I371" s="1" t="e">
        <f>NA()</f>
        <v>#N/A</v>
      </c>
      <c r="J371" s="1" t="e">
        <f>NA()</f>
        <v>#N/A</v>
      </c>
    </row>
    <row r="372" spans="1:10">
      <c r="A372" s="35"/>
      <c r="B372" s="36"/>
      <c r="C372" s="1">
        <v>3</v>
      </c>
      <c r="D372" s="1">
        <v>132</v>
      </c>
      <c r="E372" s="1">
        <v>137</v>
      </c>
      <c r="F372" s="1" t="e">
        <f>NA()</f>
        <v>#N/A</v>
      </c>
      <c r="G372" s="1" t="e">
        <f>NA()</f>
        <v>#N/A</v>
      </c>
      <c r="H372" s="1">
        <v>107</v>
      </c>
      <c r="I372" s="1" t="e">
        <f>NA()</f>
        <v>#N/A</v>
      </c>
      <c r="J372" s="1" t="e">
        <f>NA()</f>
        <v>#N/A</v>
      </c>
    </row>
    <row r="373" spans="1:10">
      <c r="A373" s="35"/>
      <c r="B373" s="36"/>
      <c r="C373" s="1">
        <v>4</v>
      </c>
      <c r="D373" s="1">
        <v>148</v>
      </c>
      <c r="E373" s="1">
        <v>162</v>
      </c>
      <c r="F373" s="1" t="e">
        <f>NA()</f>
        <v>#N/A</v>
      </c>
      <c r="G373" s="1" t="e">
        <f>NA()</f>
        <v>#N/A</v>
      </c>
      <c r="H373" s="1">
        <v>97</v>
      </c>
      <c r="I373" s="1" t="e">
        <f>NA()</f>
        <v>#N/A</v>
      </c>
      <c r="J373" s="1" t="e">
        <f>NA()</f>
        <v>#N/A</v>
      </c>
    </row>
    <row r="374" spans="1:10">
      <c r="A374" s="35"/>
      <c r="B374" s="36"/>
      <c r="C374" s="1">
        <v>5</v>
      </c>
      <c r="D374" s="1">
        <v>94</v>
      </c>
      <c r="E374" s="1">
        <v>158</v>
      </c>
      <c r="F374" s="1" t="e">
        <f>NA()</f>
        <v>#N/A</v>
      </c>
      <c r="G374" s="1" t="e">
        <f>NA()</f>
        <v>#N/A</v>
      </c>
      <c r="H374" s="1">
        <v>125</v>
      </c>
      <c r="I374" s="1" t="e">
        <f>NA()</f>
        <v>#N/A</v>
      </c>
      <c r="J374" s="1" t="e">
        <f>NA()</f>
        <v>#N/A</v>
      </c>
    </row>
    <row r="375" spans="1:10">
      <c r="A375" s="38" t="s">
        <v>64</v>
      </c>
      <c r="B375" s="36">
        <v>45192</v>
      </c>
      <c r="C375" s="1">
        <v>1</v>
      </c>
      <c r="D375" s="1">
        <v>95</v>
      </c>
      <c r="E375" s="1">
        <v>133</v>
      </c>
      <c r="F375" s="1" t="e">
        <f>NA()</f>
        <v>#N/A</v>
      </c>
      <c r="G375" s="1" t="e">
        <f>NA()</f>
        <v>#N/A</v>
      </c>
      <c r="H375" s="1">
        <v>102</v>
      </c>
      <c r="I375" s="1" t="e">
        <f>NA()</f>
        <v>#N/A</v>
      </c>
      <c r="J375" s="1" t="e">
        <f>NA()</f>
        <v>#N/A</v>
      </c>
    </row>
    <row r="376" spans="1:10">
      <c r="A376" s="39"/>
      <c r="B376" s="36"/>
      <c r="C376" s="1">
        <v>2</v>
      </c>
      <c r="D376" s="1">
        <v>161</v>
      </c>
      <c r="E376" s="1">
        <v>148</v>
      </c>
      <c r="F376" s="1" t="e">
        <f>NA()</f>
        <v>#N/A</v>
      </c>
      <c r="G376" s="1" t="e">
        <f>NA()</f>
        <v>#N/A</v>
      </c>
      <c r="H376" s="1">
        <v>100</v>
      </c>
      <c r="I376" s="1" t="e">
        <f>NA()</f>
        <v>#N/A</v>
      </c>
      <c r="J376" s="1" t="e">
        <f>NA()</f>
        <v>#N/A</v>
      </c>
    </row>
    <row r="377" spans="1:10">
      <c r="A377" s="39"/>
      <c r="B377" s="36"/>
      <c r="C377" s="1">
        <v>3</v>
      </c>
      <c r="D377" s="1">
        <v>121</v>
      </c>
      <c r="E377" s="1">
        <v>137</v>
      </c>
      <c r="F377" s="1" t="e">
        <f>NA()</f>
        <v>#N/A</v>
      </c>
      <c r="G377" s="1" t="e">
        <f>NA()</f>
        <v>#N/A</v>
      </c>
      <c r="H377" s="1">
        <v>111</v>
      </c>
      <c r="I377" s="1" t="e">
        <f>NA()</f>
        <v>#N/A</v>
      </c>
      <c r="J377" s="1" t="e">
        <f>NA()</f>
        <v>#N/A</v>
      </c>
    </row>
    <row r="378" spans="1:10">
      <c r="A378" s="39"/>
      <c r="B378" s="36"/>
      <c r="C378" s="1">
        <v>4</v>
      </c>
      <c r="D378" s="1">
        <v>136</v>
      </c>
      <c r="E378" s="1">
        <v>142</v>
      </c>
      <c r="F378" s="1" t="e">
        <f>NA()</f>
        <v>#N/A</v>
      </c>
      <c r="G378" s="1" t="e">
        <f>NA()</f>
        <v>#N/A</v>
      </c>
      <c r="H378" s="1">
        <v>122</v>
      </c>
      <c r="I378" s="1" t="e">
        <f>NA()</f>
        <v>#N/A</v>
      </c>
      <c r="J378" s="1" t="e">
        <f>NA()</f>
        <v>#N/A</v>
      </c>
    </row>
    <row r="379" spans="1:10">
      <c r="A379" s="39"/>
      <c r="B379" s="36"/>
      <c r="C379" s="1">
        <v>5</v>
      </c>
      <c r="D379" s="1">
        <v>104</v>
      </c>
      <c r="E379" s="1">
        <v>128</v>
      </c>
      <c r="F379" s="1" t="e">
        <f>NA()</f>
        <v>#N/A</v>
      </c>
      <c r="G379" s="1" t="e">
        <f>NA()</f>
        <v>#N/A</v>
      </c>
      <c r="H379" s="1">
        <v>114</v>
      </c>
      <c r="I379" s="1" t="e">
        <f>NA()</f>
        <v>#N/A</v>
      </c>
      <c r="J379" s="1" t="e">
        <f>NA()</f>
        <v>#N/A</v>
      </c>
    </row>
    <row r="380" spans="1:10">
      <c r="A380" s="34" t="s">
        <v>65</v>
      </c>
      <c r="B380" s="36">
        <v>45200</v>
      </c>
      <c r="C380" s="1">
        <v>1</v>
      </c>
      <c r="D380" s="1">
        <v>99</v>
      </c>
      <c r="E380" s="1">
        <v>140</v>
      </c>
      <c r="F380" s="1" t="e">
        <f>NA()</f>
        <v>#N/A</v>
      </c>
      <c r="G380" s="1" t="e">
        <f>NA()</f>
        <v>#N/A</v>
      </c>
      <c r="H380" s="1">
        <v>104</v>
      </c>
      <c r="I380" s="1" t="e">
        <f>NA()</f>
        <v>#N/A</v>
      </c>
      <c r="J380" s="1" t="e">
        <f>NA()</f>
        <v>#N/A</v>
      </c>
    </row>
    <row r="381" spans="1:10">
      <c r="A381" s="35"/>
      <c r="B381" s="36"/>
      <c r="C381" s="1">
        <v>2</v>
      </c>
      <c r="D381" s="1">
        <v>81</v>
      </c>
      <c r="E381" s="1">
        <v>117</v>
      </c>
      <c r="F381" s="1" t="e">
        <f>NA()</f>
        <v>#N/A</v>
      </c>
      <c r="G381" s="1" t="e">
        <f>NA()</f>
        <v>#N/A</v>
      </c>
      <c r="H381" s="1">
        <v>118</v>
      </c>
      <c r="I381" s="1" t="e">
        <f>NA()</f>
        <v>#N/A</v>
      </c>
      <c r="J381" s="1" t="e">
        <f>NA()</f>
        <v>#N/A</v>
      </c>
    </row>
    <row r="382" spans="1:10">
      <c r="A382" s="35"/>
      <c r="B382" s="36"/>
      <c r="C382" s="1">
        <v>3</v>
      </c>
      <c r="D382" s="1">
        <v>135</v>
      </c>
      <c r="E382" s="1">
        <v>159</v>
      </c>
      <c r="F382" s="1" t="e">
        <f>NA()</f>
        <v>#N/A</v>
      </c>
      <c r="G382" s="1" t="e">
        <f>NA()</f>
        <v>#N/A</v>
      </c>
      <c r="H382" s="1">
        <v>123</v>
      </c>
      <c r="I382" s="1" t="e">
        <f>NA()</f>
        <v>#N/A</v>
      </c>
      <c r="J382" s="1" t="e">
        <f>NA()</f>
        <v>#N/A</v>
      </c>
    </row>
    <row r="383" spans="1:10">
      <c r="A383" s="35"/>
      <c r="B383" s="36"/>
      <c r="C383" s="1">
        <v>4</v>
      </c>
      <c r="D383" s="1">
        <v>126</v>
      </c>
      <c r="E383" s="1">
        <v>142</v>
      </c>
      <c r="F383" s="1" t="e">
        <f>NA()</f>
        <v>#N/A</v>
      </c>
      <c r="G383" s="1" t="e">
        <f>NA()</f>
        <v>#N/A</v>
      </c>
      <c r="H383" s="1">
        <v>94</v>
      </c>
      <c r="I383" s="1" t="e">
        <f>NA()</f>
        <v>#N/A</v>
      </c>
      <c r="J383" s="1" t="e">
        <f>NA()</f>
        <v>#N/A</v>
      </c>
    </row>
    <row r="384" spans="1:10">
      <c r="A384" s="35"/>
      <c r="B384" s="36"/>
      <c r="C384" s="1">
        <v>5</v>
      </c>
      <c r="D384" s="1">
        <v>88</v>
      </c>
      <c r="E384" s="1">
        <v>109</v>
      </c>
      <c r="F384" s="1" t="e">
        <f>NA()</f>
        <v>#N/A</v>
      </c>
      <c r="G384" s="1" t="e">
        <f>NA()</f>
        <v>#N/A</v>
      </c>
      <c r="H384" s="1">
        <v>129</v>
      </c>
      <c r="I384" s="1" t="e">
        <f>NA()</f>
        <v>#N/A</v>
      </c>
      <c r="J384" s="1" t="e">
        <f>NA()</f>
        <v>#N/A</v>
      </c>
    </row>
    <row r="385" spans="1:10">
      <c r="A385" s="34" t="s">
        <v>66</v>
      </c>
      <c r="B385" s="36">
        <v>45235</v>
      </c>
      <c r="C385" s="1">
        <v>1</v>
      </c>
      <c r="D385" s="1">
        <v>116</v>
      </c>
      <c r="E385" s="1">
        <v>155</v>
      </c>
      <c r="F385" s="1" t="e">
        <f>NA()</f>
        <v>#N/A</v>
      </c>
      <c r="G385" s="1" t="e">
        <f>NA()</f>
        <v>#N/A</v>
      </c>
      <c r="H385" s="1">
        <v>112</v>
      </c>
      <c r="I385" s="1" t="e">
        <f>NA()</f>
        <v>#N/A</v>
      </c>
      <c r="J385" s="1" t="e">
        <f>NA()</f>
        <v>#N/A</v>
      </c>
    </row>
    <row r="386" spans="1:10">
      <c r="A386" s="35"/>
      <c r="B386" s="36"/>
      <c r="C386" s="1">
        <v>2</v>
      </c>
      <c r="D386" s="1">
        <v>111</v>
      </c>
      <c r="E386" s="1">
        <v>136</v>
      </c>
      <c r="F386" s="1" t="e">
        <f>NA()</f>
        <v>#N/A</v>
      </c>
      <c r="G386" s="1" t="e">
        <f>NA()</f>
        <v>#N/A</v>
      </c>
      <c r="H386" s="1">
        <v>112</v>
      </c>
      <c r="I386" s="1" t="e">
        <f>NA()</f>
        <v>#N/A</v>
      </c>
      <c r="J386" s="1" t="e">
        <f>NA()</f>
        <v>#N/A</v>
      </c>
    </row>
    <row r="387" spans="1:10">
      <c r="A387" s="35"/>
      <c r="B387" s="36"/>
      <c r="C387" s="1">
        <v>3</v>
      </c>
      <c r="D387" s="1">
        <v>79</v>
      </c>
      <c r="E387" s="1">
        <v>125</v>
      </c>
      <c r="F387" s="1" t="e">
        <f>NA()</f>
        <v>#N/A</v>
      </c>
      <c r="G387" s="1" t="e">
        <f>NA()</f>
        <v>#N/A</v>
      </c>
      <c r="H387" s="1">
        <v>117</v>
      </c>
      <c r="I387" s="1" t="e">
        <f>NA()</f>
        <v>#N/A</v>
      </c>
      <c r="J387" s="1" t="e">
        <f>NA()</f>
        <v>#N/A</v>
      </c>
    </row>
    <row r="388" spans="1:10">
      <c r="A388" s="35"/>
      <c r="B388" s="36"/>
      <c r="C388" s="1">
        <v>4</v>
      </c>
      <c r="D388" s="1">
        <v>109</v>
      </c>
      <c r="E388" s="1">
        <v>153</v>
      </c>
      <c r="F388" s="1" t="e">
        <f>NA()</f>
        <v>#N/A</v>
      </c>
      <c r="G388" s="1" t="e">
        <f>NA()</f>
        <v>#N/A</v>
      </c>
      <c r="H388" s="1">
        <v>95</v>
      </c>
      <c r="I388" s="1" t="e">
        <f>NA()</f>
        <v>#N/A</v>
      </c>
      <c r="J388" s="1" t="e">
        <f>NA()</f>
        <v>#N/A</v>
      </c>
    </row>
    <row r="389" spans="1:10">
      <c r="A389" s="35"/>
      <c r="B389" s="36"/>
      <c r="C389" s="1">
        <v>5</v>
      </c>
      <c r="D389" s="1">
        <v>81</v>
      </c>
      <c r="E389" s="1">
        <v>143</v>
      </c>
      <c r="F389" s="1" t="e">
        <f>NA()</f>
        <v>#N/A</v>
      </c>
      <c r="G389" s="1" t="e">
        <f>NA()</f>
        <v>#N/A</v>
      </c>
      <c r="H389" s="1">
        <v>132</v>
      </c>
      <c r="I389" s="1" t="e">
        <f>NA()</f>
        <v>#N/A</v>
      </c>
      <c r="J389" s="1" t="e">
        <f>NA()</f>
        <v>#N/A</v>
      </c>
    </row>
    <row r="390" spans="1:10">
      <c r="A390" s="34" t="s">
        <v>67</v>
      </c>
      <c r="B390" s="36">
        <v>45270</v>
      </c>
      <c r="C390" s="1">
        <v>1</v>
      </c>
      <c r="D390" s="1">
        <v>60</v>
      </c>
      <c r="E390" s="1">
        <v>169</v>
      </c>
      <c r="F390" s="1" t="e">
        <f>NA()</f>
        <v>#N/A</v>
      </c>
      <c r="G390" s="1" t="e">
        <f>NA()</f>
        <v>#N/A</v>
      </c>
      <c r="H390" s="1">
        <v>86</v>
      </c>
      <c r="I390" s="1" t="e">
        <f>NA()</f>
        <v>#N/A</v>
      </c>
      <c r="J390" s="1" t="e">
        <f>NA()</f>
        <v>#N/A</v>
      </c>
    </row>
    <row r="391" spans="1:10">
      <c r="A391" s="35"/>
      <c r="B391" s="36"/>
      <c r="C391" s="1">
        <v>2</v>
      </c>
      <c r="D391" s="1">
        <v>132</v>
      </c>
      <c r="E391" s="1">
        <v>124</v>
      </c>
      <c r="F391" s="1" t="e">
        <f>NA()</f>
        <v>#N/A</v>
      </c>
      <c r="G391" s="1" t="e">
        <f>NA()</f>
        <v>#N/A</v>
      </c>
      <c r="H391" s="1">
        <v>128</v>
      </c>
      <c r="I391" s="1" t="e">
        <f>NA()</f>
        <v>#N/A</v>
      </c>
      <c r="J391" s="1" t="e">
        <f>NA()</f>
        <v>#N/A</v>
      </c>
    </row>
    <row r="392" spans="1:10">
      <c r="A392" s="35"/>
      <c r="B392" s="36"/>
      <c r="C392" s="1">
        <v>3</v>
      </c>
      <c r="D392" s="1">
        <v>100</v>
      </c>
      <c r="E392" s="1">
        <v>115</v>
      </c>
      <c r="F392" s="1" t="e">
        <f>NA()</f>
        <v>#N/A</v>
      </c>
      <c r="G392" s="1" t="e">
        <f>NA()</f>
        <v>#N/A</v>
      </c>
      <c r="H392" s="1">
        <v>110</v>
      </c>
      <c r="I392" s="1" t="e">
        <f>NA()</f>
        <v>#N/A</v>
      </c>
      <c r="J392" s="1" t="e">
        <f>NA()</f>
        <v>#N/A</v>
      </c>
    </row>
    <row r="393" spans="1:10">
      <c r="A393" s="35"/>
      <c r="B393" s="36"/>
      <c r="C393" s="1">
        <v>4</v>
      </c>
      <c r="D393" s="1">
        <v>104</v>
      </c>
      <c r="E393" s="1">
        <v>160</v>
      </c>
      <c r="F393" s="1" t="e">
        <f>NA()</f>
        <v>#N/A</v>
      </c>
      <c r="G393" s="1" t="e">
        <f>NA()</f>
        <v>#N/A</v>
      </c>
      <c r="H393" s="1">
        <v>107</v>
      </c>
      <c r="I393" s="1" t="e">
        <f>NA()</f>
        <v>#N/A</v>
      </c>
      <c r="J393" s="1" t="e">
        <f>NA()</f>
        <v>#N/A</v>
      </c>
    </row>
    <row r="394" spans="1:10">
      <c r="A394" s="35"/>
      <c r="B394" s="36"/>
      <c r="C394" s="1">
        <v>5</v>
      </c>
      <c r="D394" s="1">
        <v>99</v>
      </c>
      <c r="E394" s="1">
        <v>158</v>
      </c>
      <c r="F394" s="1" t="e">
        <f>NA()</f>
        <v>#N/A</v>
      </c>
      <c r="G394" s="1" t="e">
        <f>NA()</f>
        <v>#N/A</v>
      </c>
      <c r="H394" s="1">
        <v>110</v>
      </c>
      <c r="I394" s="1" t="e">
        <f>NA()</f>
        <v>#N/A</v>
      </c>
      <c r="J394" s="1" t="e">
        <f>NA()</f>
        <v>#N/A</v>
      </c>
    </row>
    <row r="395" spans="1:10">
      <c r="A395" s="34" t="s">
        <v>68</v>
      </c>
      <c r="B395" s="36">
        <v>45319</v>
      </c>
      <c r="C395" s="1">
        <v>1</v>
      </c>
      <c r="D395" s="1">
        <v>88</v>
      </c>
      <c r="E395" s="1">
        <v>125</v>
      </c>
      <c r="F395" s="1" t="e">
        <f>NA()</f>
        <v>#N/A</v>
      </c>
      <c r="G395" s="1" t="e">
        <f>NA()</f>
        <v>#N/A</v>
      </c>
      <c r="H395" s="1">
        <v>117</v>
      </c>
      <c r="I395" s="1" t="e">
        <f>NA()</f>
        <v>#N/A</v>
      </c>
      <c r="J395" s="1" t="e">
        <f>NA()</f>
        <v>#N/A</v>
      </c>
    </row>
    <row r="396" spans="1:10">
      <c r="A396" s="35"/>
      <c r="B396" s="36"/>
      <c r="C396" s="1">
        <v>2</v>
      </c>
      <c r="D396" s="1">
        <v>132</v>
      </c>
      <c r="E396" s="1">
        <v>152</v>
      </c>
      <c r="F396" s="1" t="e">
        <f>NA()</f>
        <v>#N/A</v>
      </c>
      <c r="G396" s="1" t="e">
        <f>NA()</f>
        <v>#N/A</v>
      </c>
      <c r="H396" s="1">
        <v>126</v>
      </c>
      <c r="I396" s="1" t="e">
        <f>NA()</f>
        <v>#N/A</v>
      </c>
      <c r="J396" s="1" t="e">
        <f>NA()</f>
        <v>#N/A</v>
      </c>
    </row>
    <row r="397" spans="1:10">
      <c r="A397" s="35"/>
      <c r="B397" s="36"/>
      <c r="C397" s="1">
        <v>3</v>
      </c>
      <c r="D397" s="1">
        <v>191</v>
      </c>
      <c r="E397" s="1">
        <v>116</v>
      </c>
      <c r="F397" s="1" t="e">
        <f>NA()</f>
        <v>#N/A</v>
      </c>
      <c r="G397" s="1" t="e">
        <f>NA()</f>
        <v>#N/A</v>
      </c>
      <c r="H397" s="1">
        <v>94</v>
      </c>
      <c r="I397" s="1" t="e">
        <f>NA()</f>
        <v>#N/A</v>
      </c>
      <c r="J397" s="1" t="e">
        <f>NA()</f>
        <v>#N/A</v>
      </c>
    </row>
    <row r="398" spans="1:10">
      <c r="A398" s="35"/>
      <c r="B398" s="36"/>
      <c r="C398" s="1">
        <v>4</v>
      </c>
      <c r="D398" s="1">
        <v>103</v>
      </c>
      <c r="E398" s="1">
        <v>136</v>
      </c>
      <c r="F398" s="1" t="e">
        <f>NA()</f>
        <v>#N/A</v>
      </c>
      <c r="G398" s="1" t="e">
        <f>NA()</f>
        <v>#N/A</v>
      </c>
      <c r="H398" s="1">
        <v>124</v>
      </c>
      <c r="I398" s="1" t="e">
        <f>NA()</f>
        <v>#N/A</v>
      </c>
      <c r="J398" s="1" t="e">
        <f>NA()</f>
        <v>#N/A</v>
      </c>
    </row>
    <row r="399" spans="1:10">
      <c r="A399" s="35"/>
      <c r="B399" s="36"/>
      <c r="C399" s="1">
        <v>5</v>
      </c>
      <c r="D399" s="1">
        <v>120</v>
      </c>
      <c r="E399" s="1">
        <v>146</v>
      </c>
      <c r="F399" s="1" t="e">
        <f>NA()</f>
        <v>#N/A</v>
      </c>
      <c r="G399" s="1" t="e">
        <f>NA()</f>
        <v>#N/A</v>
      </c>
      <c r="H399" s="1">
        <v>107</v>
      </c>
      <c r="I399" s="1" t="e">
        <f>NA()</f>
        <v>#N/A</v>
      </c>
      <c r="J399" s="1" t="e">
        <f>NA()</f>
        <v>#N/A</v>
      </c>
    </row>
    <row r="400" spans="1:10">
      <c r="A400" s="34" t="s">
        <v>69</v>
      </c>
      <c r="B400" s="36">
        <v>45334</v>
      </c>
      <c r="C400" s="1">
        <v>1</v>
      </c>
      <c r="D400" s="1">
        <v>90</v>
      </c>
      <c r="E400" s="1">
        <v>162</v>
      </c>
      <c r="F400" s="1" t="e">
        <f>NA()</f>
        <v>#N/A</v>
      </c>
      <c r="G400" s="1" t="e">
        <f>NA()</f>
        <v>#N/A</v>
      </c>
      <c r="H400" s="1">
        <v>88</v>
      </c>
      <c r="I400" s="1" t="e">
        <f>NA()</f>
        <v>#N/A</v>
      </c>
      <c r="J400" s="1" t="e">
        <f>NA()</f>
        <v>#N/A</v>
      </c>
    </row>
    <row r="401" spans="1:10">
      <c r="A401" s="35"/>
      <c r="B401" s="36"/>
      <c r="C401" s="1">
        <v>2</v>
      </c>
      <c r="D401" s="1">
        <v>110</v>
      </c>
      <c r="E401" s="1">
        <v>128</v>
      </c>
      <c r="F401" s="1" t="e">
        <f>NA()</f>
        <v>#N/A</v>
      </c>
      <c r="G401" s="1" t="e">
        <f>NA()</f>
        <v>#N/A</v>
      </c>
      <c r="H401" s="1">
        <v>72</v>
      </c>
      <c r="I401" s="1" t="e">
        <f>NA()</f>
        <v>#N/A</v>
      </c>
      <c r="J401" s="1" t="e">
        <f>NA()</f>
        <v>#N/A</v>
      </c>
    </row>
    <row r="402" spans="1:10">
      <c r="A402" s="35"/>
      <c r="B402" s="36"/>
      <c r="C402" s="1">
        <v>3</v>
      </c>
      <c r="D402" s="1">
        <v>143</v>
      </c>
      <c r="E402" s="1">
        <v>188</v>
      </c>
      <c r="F402" s="1" t="e">
        <f>NA()</f>
        <v>#N/A</v>
      </c>
      <c r="G402" s="1" t="e">
        <f>NA()</f>
        <v>#N/A</v>
      </c>
      <c r="H402" s="1">
        <v>80</v>
      </c>
      <c r="I402" s="1" t="e">
        <f>NA()</f>
        <v>#N/A</v>
      </c>
      <c r="J402" s="1" t="e">
        <f>NA()</f>
        <v>#N/A</v>
      </c>
    </row>
    <row r="403" spans="1:10">
      <c r="A403" s="35"/>
      <c r="B403" s="36"/>
      <c r="C403" s="1">
        <v>4</v>
      </c>
      <c r="D403" s="1">
        <v>152</v>
      </c>
      <c r="E403" s="1">
        <v>147</v>
      </c>
      <c r="F403" s="1" t="e">
        <f>NA()</f>
        <v>#N/A</v>
      </c>
      <c r="G403" s="1" t="e">
        <f>NA()</f>
        <v>#N/A</v>
      </c>
      <c r="H403" s="1">
        <v>91</v>
      </c>
      <c r="I403" s="1" t="e">
        <f>NA()</f>
        <v>#N/A</v>
      </c>
      <c r="J403" s="1" t="e">
        <f>NA()</f>
        <v>#N/A</v>
      </c>
    </row>
    <row r="404" spans="1:10">
      <c r="A404" s="35"/>
      <c r="B404" s="36"/>
      <c r="C404" s="1">
        <v>5</v>
      </c>
      <c r="D404" s="1">
        <v>154</v>
      </c>
      <c r="E404" s="1">
        <v>167</v>
      </c>
      <c r="F404" s="1" t="e">
        <f>NA()</f>
        <v>#N/A</v>
      </c>
      <c r="G404" s="1" t="e">
        <f>NA()</f>
        <v>#N/A</v>
      </c>
      <c r="H404" s="1">
        <v>87</v>
      </c>
      <c r="I404" s="1" t="e">
        <f>NA()</f>
        <v>#N/A</v>
      </c>
      <c r="J404" s="1" t="e">
        <f>NA()</f>
        <v>#N/A</v>
      </c>
    </row>
    <row r="405" spans="1:10">
      <c r="A405" s="34" t="s">
        <v>71</v>
      </c>
      <c r="B405" s="36">
        <v>45368</v>
      </c>
      <c r="C405" s="1">
        <v>1</v>
      </c>
      <c r="D405" s="1">
        <v>100</v>
      </c>
      <c r="E405" s="1">
        <v>129</v>
      </c>
      <c r="F405" s="1" t="e">
        <f>NA()</f>
        <v>#N/A</v>
      </c>
      <c r="G405" s="1" t="e">
        <f>NA()</f>
        <v>#N/A</v>
      </c>
      <c r="H405" s="1">
        <v>128</v>
      </c>
      <c r="I405" s="1">
        <v>104</v>
      </c>
      <c r="J405" s="1" t="e">
        <f>NA()</f>
        <v>#N/A</v>
      </c>
    </row>
    <row r="406" spans="1:10">
      <c r="A406" s="35"/>
      <c r="B406" s="36"/>
      <c r="C406" s="1">
        <v>2</v>
      </c>
      <c r="D406" s="1">
        <v>91</v>
      </c>
      <c r="E406" s="1">
        <v>115</v>
      </c>
      <c r="F406" s="1" t="e">
        <f>NA()</f>
        <v>#N/A</v>
      </c>
      <c r="G406" s="1" t="e">
        <f>NA()</f>
        <v>#N/A</v>
      </c>
      <c r="H406" s="1">
        <v>104</v>
      </c>
      <c r="I406" s="1">
        <v>127</v>
      </c>
      <c r="J406" s="1" t="e">
        <f>NA()</f>
        <v>#N/A</v>
      </c>
    </row>
    <row r="407" spans="1:10">
      <c r="A407" s="35"/>
      <c r="B407" s="36"/>
      <c r="C407" s="1">
        <v>3</v>
      </c>
      <c r="D407" s="1">
        <v>115</v>
      </c>
      <c r="E407" s="1">
        <v>145</v>
      </c>
      <c r="F407" s="1" t="e">
        <f>NA()</f>
        <v>#N/A</v>
      </c>
      <c r="G407" s="1" t="e">
        <f>NA()</f>
        <v>#N/A</v>
      </c>
      <c r="H407" s="1">
        <v>95</v>
      </c>
      <c r="I407" s="1">
        <v>118</v>
      </c>
      <c r="J407" s="1" t="e">
        <f>NA()</f>
        <v>#N/A</v>
      </c>
    </row>
    <row r="408" spans="1:10">
      <c r="A408" s="35"/>
      <c r="B408" s="36"/>
      <c r="C408" s="1">
        <v>4</v>
      </c>
      <c r="D408" s="1">
        <v>126</v>
      </c>
      <c r="E408" s="1">
        <v>132</v>
      </c>
      <c r="F408" s="1" t="e">
        <f>NA()</f>
        <v>#N/A</v>
      </c>
      <c r="G408" s="1" t="e">
        <f>NA()</f>
        <v>#N/A</v>
      </c>
      <c r="H408" s="1">
        <v>120</v>
      </c>
      <c r="I408" s="1">
        <v>90</v>
      </c>
      <c r="J408" s="1" t="e">
        <f>NA()</f>
        <v>#N/A</v>
      </c>
    </row>
    <row r="409" spans="1:10">
      <c r="A409" s="35"/>
      <c r="B409" s="36"/>
      <c r="C409" s="1">
        <v>5</v>
      </c>
      <c r="D409" s="1">
        <v>103</v>
      </c>
      <c r="E409" s="1">
        <v>141</v>
      </c>
      <c r="F409" s="1" t="e">
        <f>NA()</f>
        <v>#N/A</v>
      </c>
      <c r="G409" s="1" t="e">
        <f>NA()</f>
        <v>#N/A</v>
      </c>
      <c r="H409" s="1">
        <v>92</v>
      </c>
      <c r="I409" s="1">
        <v>121</v>
      </c>
      <c r="J409" s="1" t="e">
        <f>NA()</f>
        <v>#N/A</v>
      </c>
    </row>
    <row r="410" spans="1:10">
      <c r="A410" s="51" t="s">
        <v>72</v>
      </c>
      <c r="B410" s="36">
        <v>45409</v>
      </c>
      <c r="C410" s="1">
        <v>1</v>
      </c>
      <c r="D410" s="1">
        <v>123</v>
      </c>
      <c r="E410" s="1">
        <v>146</v>
      </c>
      <c r="F410" s="1" t="e">
        <f>NA()</f>
        <v>#N/A</v>
      </c>
      <c r="G410" s="1" t="e">
        <f>NA()</f>
        <v>#N/A</v>
      </c>
      <c r="H410" s="1">
        <v>75</v>
      </c>
      <c r="I410" s="1">
        <v>109</v>
      </c>
      <c r="J410" s="1" t="e">
        <f>NA()</f>
        <v>#N/A</v>
      </c>
    </row>
    <row r="411" spans="1:10">
      <c r="A411" s="52"/>
      <c r="B411" s="36"/>
      <c r="C411" s="1">
        <v>2</v>
      </c>
      <c r="D411" s="1">
        <v>86</v>
      </c>
      <c r="E411" s="1">
        <v>154</v>
      </c>
      <c r="F411" s="1" t="e">
        <f>NA()</f>
        <v>#N/A</v>
      </c>
      <c r="G411" s="1" t="e">
        <f>NA()</f>
        <v>#N/A</v>
      </c>
      <c r="H411" s="1">
        <v>60</v>
      </c>
      <c r="I411" s="1">
        <v>73</v>
      </c>
      <c r="J411" s="1" t="e">
        <f>NA()</f>
        <v>#N/A</v>
      </c>
    </row>
    <row r="412" spans="1:10">
      <c r="A412" s="52"/>
      <c r="B412" s="36"/>
      <c r="C412" s="1">
        <v>3</v>
      </c>
      <c r="D412" s="1">
        <v>70</v>
      </c>
      <c r="E412" s="1">
        <v>112</v>
      </c>
      <c r="F412" s="1" t="e">
        <f>NA()</f>
        <v>#N/A</v>
      </c>
      <c r="G412" s="1" t="e">
        <f>NA()</f>
        <v>#N/A</v>
      </c>
      <c r="H412" s="1">
        <v>28</v>
      </c>
      <c r="I412" s="1">
        <v>63</v>
      </c>
      <c r="J412" s="1" t="e">
        <f>NA()</f>
        <v>#N/A</v>
      </c>
    </row>
    <row r="413" spans="1:10">
      <c r="A413" s="52"/>
      <c r="B413" s="36"/>
      <c r="C413" s="1">
        <v>4</v>
      </c>
      <c r="D413" s="1">
        <v>108</v>
      </c>
      <c r="E413" s="1">
        <v>148</v>
      </c>
      <c r="F413" s="1" t="e">
        <f>NA()</f>
        <v>#N/A</v>
      </c>
      <c r="G413" s="1" t="e">
        <f>NA()</f>
        <v>#N/A</v>
      </c>
      <c r="H413" s="1">
        <v>65</v>
      </c>
      <c r="I413" s="1">
        <v>78</v>
      </c>
      <c r="J413" s="1" t="e">
        <f>NA()</f>
        <v>#N/A</v>
      </c>
    </row>
    <row r="414" spans="1:10">
      <c r="A414" s="52"/>
      <c r="B414" s="36"/>
      <c r="C414" s="1">
        <v>5</v>
      </c>
      <c r="D414" s="1">
        <v>137</v>
      </c>
      <c r="E414" s="1">
        <v>125</v>
      </c>
      <c r="F414" s="1" t="e">
        <f>NA()</f>
        <v>#N/A</v>
      </c>
      <c r="G414" s="1" t="e">
        <f>NA()</f>
        <v>#N/A</v>
      </c>
      <c r="H414" s="1">
        <v>42</v>
      </c>
      <c r="I414" s="1">
        <v>89</v>
      </c>
      <c r="J414" s="1" t="e">
        <f>NA()</f>
        <v>#N/A</v>
      </c>
    </row>
    <row r="415" spans="1:10">
      <c r="A415" s="34" t="s">
        <v>73</v>
      </c>
      <c r="B415" s="36">
        <v>45429</v>
      </c>
      <c r="C415" s="1">
        <v>1</v>
      </c>
      <c r="D415" s="1">
        <v>135</v>
      </c>
      <c r="E415" s="1">
        <v>114</v>
      </c>
      <c r="F415" s="1" t="e">
        <f>NA()</f>
        <v>#N/A</v>
      </c>
      <c r="G415" s="1" t="e">
        <f>NA()</f>
        <v>#N/A</v>
      </c>
      <c r="H415" s="1">
        <v>29</v>
      </c>
      <c r="I415" s="1" t="e">
        <f>NA()</f>
        <v>#N/A</v>
      </c>
      <c r="J415" s="1" t="e">
        <f>NA()</f>
        <v>#N/A</v>
      </c>
    </row>
    <row r="416" spans="1:10">
      <c r="A416" s="35"/>
      <c r="B416" s="36"/>
      <c r="C416" s="1">
        <v>2</v>
      </c>
      <c r="D416" s="1">
        <v>116</v>
      </c>
      <c r="E416" s="1">
        <v>119</v>
      </c>
      <c r="F416" s="1" t="e">
        <f>NA()</f>
        <v>#N/A</v>
      </c>
      <c r="G416" s="1" t="e">
        <f>NA()</f>
        <v>#N/A</v>
      </c>
      <c r="H416" s="1">
        <v>73</v>
      </c>
      <c r="I416" s="1" t="e">
        <f>NA()</f>
        <v>#N/A</v>
      </c>
      <c r="J416" s="1" t="e">
        <f>NA()</f>
        <v>#N/A</v>
      </c>
    </row>
    <row r="417" spans="1:10">
      <c r="A417" s="35"/>
      <c r="B417" s="36"/>
      <c r="C417" s="1">
        <v>3</v>
      </c>
      <c r="D417" s="1">
        <v>103</v>
      </c>
      <c r="E417" s="1">
        <v>133</v>
      </c>
      <c r="F417" s="1" t="e">
        <f>NA()</f>
        <v>#N/A</v>
      </c>
      <c r="G417" s="1" t="e">
        <f>NA()</f>
        <v>#N/A</v>
      </c>
      <c r="H417" s="1">
        <v>78</v>
      </c>
      <c r="I417" s="1" t="e">
        <f>NA()</f>
        <v>#N/A</v>
      </c>
      <c r="J417" s="1" t="e">
        <f>NA()</f>
        <v>#N/A</v>
      </c>
    </row>
    <row r="418" spans="1:10">
      <c r="A418" s="35"/>
      <c r="B418" s="36"/>
      <c r="C418" s="1">
        <v>4</v>
      </c>
      <c r="D418" s="1">
        <v>127</v>
      </c>
      <c r="E418" s="1">
        <v>149</v>
      </c>
      <c r="F418" s="1" t="e">
        <f>NA()</f>
        <v>#N/A</v>
      </c>
      <c r="G418" s="1" t="e">
        <f>NA()</f>
        <v>#N/A</v>
      </c>
      <c r="H418" s="1">
        <v>91</v>
      </c>
      <c r="I418" s="1" t="e">
        <f>NA()</f>
        <v>#N/A</v>
      </c>
      <c r="J418" s="1" t="e">
        <f>NA()</f>
        <v>#N/A</v>
      </c>
    </row>
    <row r="419" spans="1:10">
      <c r="A419" s="35"/>
      <c r="B419" s="36"/>
      <c r="C419" s="1">
        <v>5</v>
      </c>
      <c r="D419" s="1">
        <v>107</v>
      </c>
      <c r="E419" s="1">
        <v>183</v>
      </c>
      <c r="F419" s="1" t="e">
        <f>NA()</f>
        <v>#N/A</v>
      </c>
      <c r="G419" s="1" t="e">
        <f>NA()</f>
        <v>#N/A</v>
      </c>
      <c r="H419" s="1">
        <v>89</v>
      </c>
      <c r="I419" s="1" t="e">
        <f>NA()</f>
        <v>#N/A</v>
      </c>
      <c r="J419" s="1" t="e">
        <f>NA()</f>
        <v>#N/A</v>
      </c>
    </row>
    <row r="420" spans="1:10">
      <c r="A420" s="38" t="s">
        <v>74</v>
      </c>
      <c r="B420" s="36">
        <v>45445</v>
      </c>
      <c r="C420" s="1">
        <v>1</v>
      </c>
      <c r="D420" s="1">
        <v>119</v>
      </c>
      <c r="E420" s="1">
        <v>81</v>
      </c>
      <c r="F420" s="1" t="e">
        <f>NA()</f>
        <v>#N/A</v>
      </c>
      <c r="G420" s="1" t="e">
        <f>NA()</f>
        <v>#N/A</v>
      </c>
      <c r="H420" s="1">
        <v>40</v>
      </c>
      <c r="I420" s="1">
        <v>57</v>
      </c>
      <c r="J420" s="1" t="e">
        <f>NA()</f>
        <v>#N/A</v>
      </c>
    </row>
    <row r="421" spans="1:10">
      <c r="A421" s="39"/>
      <c r="B421" s="36"/>
      <c r="C421" s="1">
        <v>2</v>
      </c>
      <c r="D421" s="1">
        <v>97</v>
      </c>
      <c r="E421" s="1">
        <v>148</v>
      </c>
      <c r="F421" s="1" t="e">
        <f>NA()</f>
        <v>#N/A</v>
      </c>
      <c r="G421" s="1" t="e">
        <f>NA()</f>
        <v>#N/A</v>
      </c>
      <c r="H421" s="1">
        <v>93</v>
      </c>
      <c r="I421" s="1">
        <v>72</v>
      </c>
      <c r="J421" s="1" t="e">
        <f>NA()</f>
        <v>#N/A</v>
      </c>
    </row>
    <row r="422" spans="1:10">
      <c r="A422" s="39"/>
      <c r="B422" s="36"/>
      <c r="C422" s="1">
        <v>3</v>
      </c>
      <c r="D422" s="1">
        <v>134</v>
      </c>
      <c r="E422" s="1">
        <v>123</v>
      </c>
      <c r="F422" s="1" t="e">
        <f>NA()</f>
        <v>#N/A</v>
      </c>
      <c r="G422" s="1" t="e">
        <f>NA()</f>
        <v>#N/A</v>
      </c>
      <c r="H422" s="1">
        <v>40</v>
      </c>
      <c r="I422" s="1">
        <v>55</v>
      </c>
      <c r="J422" s="1" t="e">
        <f>NA()</f>
        <v>#N/A</v>
      </c>
    </row>
    <row r="423" spans="1:10">
      <c r="A423" s="39"/>
      <c r="B423" s="36"/>
      <c r="C423" s="1">
        <v>4</v>
      </c>
      <c r="D423" s="1">
        <v>121</v>
      </c>
      <c r="E423" s="1">
        <v>127</v>
      </c>
      <c r="F423" s="1" t="e">
        <f>NA()</f>
        <v>#N/A</v>
      </c>
      <c r="G423" s="1" t="e">
        <f>NA()</f>
        <v>#N/A</v>
      </c>
      <c r="H423" s="1">
        <v>65</v>
      </c>
      <c r="I423" s="1">
        <v>110</v>
      </c>
      <c r="J423" s="1" t="e">
        <f>NA()</f>
        <v>#N/A</v>
      </c>
    </row>
    <row r="424" spans="1:10">
      <c r="A424" s="39"/>
      <c r="B424" s="36"/>
      <c r="C424" s="1">
        <v>5</v>
      </c>
      <c r="D424" s="1">
        <v>131</v>
      </c>
      <c r="E424" s="1">
        <v>152</v>
      </c>
      <c r="F424" s="1" t="e">
        <f>NA()</f>
        <v>#N/A</v>
      </c>
      <c r="G424" s="1" t="e">
        <f>NA()</f>
        <v>#N/A</v>
      </c>
      <c r="H424" s="1">
        <v>97</v>
      </c>
      <c r="I424" s="1">
        <v>117</v>
      </c>
      <c r="J424" s="1" t="e">
        <f>NA()</f>
        <v>#N/A</v>
      </c>
    </row>
    <row r="425" spans="1:10">
      <c r="A425" s="34" t="s">
        <v>75</v>
      </c>
      <c r="B425" s="36">
        <v>45458</v>
      </c>
      <c r="C425" s="1">
        <v>1</v>
      </c>
      <c r="D425" s="1">
        <v>113</v>
      </c>
      <c r="E425" s="1">
        <v>90</v>
      </c>
      <c r="F425" s="1" t="e">
        <f>NA()</f>
        <v>#N/A</v>
      </c>
      <c r="G425" s="1" t="e">
        <f>NA()</f>
        <v>#N/A</v>
      </c>
      <c r="H425" s="1">
        <v>38</v>
      </c>
      <c r="I425" s="1">
        <v>109</v>
      </c>
      <c r="J425" s="1" t="e">
        <f>NA()</f>
        <v>#N/A</v>
      </c>
    </row>
    <row r="426" spans="1:10">
      <c r="A426" s="35"/>
      <c r="B426" s="36"/>
      <c r="C426" s="1">
        <v>2</v>
      </c>
      <c r="D426" s="1">
        <v>125</v>
      </c>
      <c r="E426" s="1">
        <v>94</v>
      </c>
      <c r="F426" s="1" t="e">
        <f>NA()</f>
        <v>#N/A</v>
      </c>
      <c r="G426" s="1" t="e">
        <f>NA()</f>
        <v>#N/A</v>
      </c>
      <c r="H426" s="1">
        <v>75</v>
      </c>
      <c r="I426" s="1">
        <v>131</v>
      </c>
      <c r="J426" s="1" t="e">
        <f>NA()</f>
        <v>#N/A</v>
      </c>
    </row>
    <row r="427" spans="1:10">
      <c r="A427" s="35"/>
      <c r="B427" s="36"/>
      <c r="C427" s="1">
        <v>3</v>
      </c>
      <c r="D427" s="1">
        <v>87</v>
      </c>
      <c r="E427" s="1">
        <v>127</v>
      </c>
      <c r="F427" s="1" t="e">
        <f>NA()</f>
        <v>#N/A</v>
      </c>
      <c r="G427" s="1" t="e">
        <f>NA()</f>
        <v>#N/A</v>
      </c>
      <c r="H427" s="1">
        <v>42</v>
      </c>
      <c r="I427" s="1">
        <v>128</v>
      </c>
      <c r="J427" s="1" t="e">
        <f>NA()</f>
        <v>#N/A</v>
      </c>
    </row>
    <row r="428" spans="1:10">
      <c r="A428" s="35"/>
      <c r="B428" s="36"/>
      <c r="C428" s="1">
        <v>4</v>
      </c>
      <c r="D428" s="1">
        <v>83</v>
      </c>
      <c r="E428" s="1">
        <v>99</v>
      </c>
      <c r="F428" s="1" t="e">
        <f>NA()</f>
        <v>#N/A</v>
      </c>
      <c r="G428" s="1" t="e">
        <f>NA()</f>
        <v>#N/A</v>
      </c>
      <c r="H428" s="1">
        <v>84</v>
      </c>
      <c r="I428" s="1">
        <v>144</v>
      </c>
      <c r="J428" s="1" t="e">
        <f>NA()</f>
        <v>#N/A</v>
      </c>
    </row>
    <row r="429" spans="1:10">
      <c r="A429" s="35"/>
      <c r="B429" s="36"/>
      <c r="C429" s="1">
        <v>5</v>
      </c>
      <c r="D429" s="1">
        <v>92</v>
      </c>
      <c r="E429" s="1">
        <v>109</v>
      </c>
      <c r="F429" s="1" t="e">
        <f>NA()</f>
        <v>#N/A</v>
      </c>
      <c r="G429" s="1" t="e">
        <f>NA()</f>
        <v>#N/A</v>
      </c>
      <c r="H429" s="1">
        <v>68</v>
      </c>
      <c r="I429" s="1">
        <v>125</v>
      </c>
      <c r="J429" s="1" t="e">
        <f>NA()</f>
        <v>#N/A</v>
      </c>
    </row>
    <row r="430" spans="1:10">
      <c r="A430" s="34" t="s">
        <v>76</v>
      </c>
      <c r="B430" s="36">
        <v>45480</v>
      </c>
      <c r="C430" s="1">
        <v>1</v>
      </c>
      <c r="D430" s="1" t="e">
        <f>NA()</f>
        <v>#N/A</v>
      </c>
      <c r="E430" s="1">
        <v>125</v>
      </c>
      <c r="F430" s="1" t="e">
        <f>NA()</f>
        <v>#N/A</v>
      </c>
      <c r="G430" s="1" t="e">
        <f>NA()</f>
        <v>#N/A</v>
      </c>
      <c r="H430" s="1" t="e">
        <f>NA()</f>
        <v>#N/A</v>
      </c>
      <c r="I430" s="1" t="e">
        <f>NA()</f>
        <v>#N/A</v>
      </c>
      <c r="J430" s="1" t="e">
        <f>NA()</f>
        <v>#N/A</v>
      </c>
    </row>
    <row r="431" spans="1:10">
      <c r="A431" s="35"/>
      <c r="B431" s="36"/>
      <c r="C431" s="1">
        <v>2</v>
      </c>
      <c r="D431" s="1" t="e">
        <f>NA()</f>
        <v>#N/A</v>
      </c>
      <c r="E431" s="1">
        <v>122</v>
      </c>
      <c r="F431" s="1" t="e">
        <f>NA()</f>
        <v>#N/A</v>
      </c>
      <c r="G431" s="1" t="e">
        <f>NA()</f>
        <v>#N/A</v>
      </c>
      <c r="H431" s="1" t="e">
        <f>NA()</f>
        <v>#N/A</v>
      </c>
      <c r="I431" s="1" t="e">
        <f>NA()</f>
        <v>#N/A</v>
      </c>
      <c r="J431" s="1" t="e">
        <f>NA()</f>
        <v>#N/A</v>
      </c>
    </row>
    <row r="432" spans="1:10">
      <c r="A432" s="35"/>
      <c r="B432" s="36"/>
      <c r="C432" s="1">
        <v>3</v>
      </c>
      <c r="D432" s="1" t="e">
        <f>NA()</f>
        <v>#N/A</v>
      </c>
      <c r="E432" s="1">
        <v>144</v>
      </c>
      <c r="F432" s="1" t="e">
        <f>NA()</f>
        <v>#N/A</v>
      </c>
      <c r="G432" s="1" t="e">
        <f>NA()</f>
        <v>#N/A</v>
      </c>
      <c r="H432" s="1" t="e">
        <f>NA()</f>
        <v>#N/A</v>
      </c>
      <c r="I432" s="1" t="e">
        <f>NA()</f>
        <v>#N/A</v>
      </c>
      <c r="J432" s="1" t="e">
        <f>NA()</f>
        <v>#N/A</v>
      </c>
    </row>
    <row r="433" spans="1:10">
      <c r="A433" s="35"/>
      <c r="B433" s="36"/>
      <c r="C433" s="1">
        <v>4</v>
      </c>
      <c r="D433" s="1" t="e">
        <f>NA()</f>
        <v>#N/A</v>
      </c>
      <c r="E433" s="1">
        <v>121</v>
      </c>
      <c r="F433" s="1" t="e">
        <f>NA()</f>
        <v>#N/A</v>
      </c>
      <c r="G433" s="1" t="e">
        <f>NA()</f>
        <v>#N/A</v>
      </c>
      <c r="H433" s="1" t="e">
        <f>NA()</f>
        <v>#N/A</v>
      </c>
      <c r="I433" s="1" t="e">
        <f>NA()</f>
        <v>#N/A</v>
      </c>
      <c r="J433" s="1" t="e">
        <f>NA()</f>
        <v>#N/A</v>
      </c>
    </row>
    <row r="434" spans="1:10">
      <c r="A434" s="35"/>
      <c r="B434" s="36"/>
      <c r="C434" s="1">
        <v>5</v>
      </c>
      <c r="D434" s="1" t="e">
        <f>NA()</f>
        <v>#N/A</v>
      </c>
      <c r="E434" s="1">
        <v>162</v>
      </c>
      <c r="F434" s="1" t="e">
        <f>NA()</f>
        <v>#N/A</v>
      </c>
      <c r="G434" s="1" t="e">
        <f>NA()</f>
        <v>#N/A</v>
      </c>
      <c r="H434" s="1" t="e">
        <f>NA()</f>
        <v>#N/A</v>
      </c>
      <c r="I434" s="1" t="e">
        <f>NA()</f>
        <v>#N/A</v>
      </c>
      <c r="J434" s="1" t="e">
        <f>NA()</f>
        <v>#N/A</v>
      </c>
    </row>
    <row r="435" spans="1:10">
      <c r="A435" s="34" t="s">
        <v>77</v>
      </c>
      <c r="B435" s="36">
        <v>45498</v>
      </c>
      <c r="C435" s="1">
        <v>1</v>
      </c>
      <c r="D435" s="1">
        <v>86</v>
      </c>
      <c r="E435" s="1" t="e">
        <f>NA()</f>
        <v>#N/A</v>
      </c>
      <c r="F435" s="1" t="e">
        <f>NA()</f>
        <v>#N/A</v>
      </c>
      <c r="G435" s="1" t="e">
        <f>NA()</f>
        <v>#N/A</v>
      </c>
      <c r="H435" s="1" t="e">
        <f>NA()</f>
        <v>#N/A</v>
      </c>
      <c r="I435" s="1" t="e">
        <f>NA()</f>
        <v>#N/A</v>
      </c>
      <c r="J435" s="1" t="e">
        <f>NA()</f>
        <v>#N/A</v>
      </c>
    </row>
    <row r="436" spans="1:10">
      <c r="A436" s="35"/>
      <c r="B436" s="36"/>
      <c r="C436" s="1">
        <v>2</v>
      </c>
      <c r="D436" s="1">
        <v>96</v>
      </c>
      <c r="E436" s="1" t="e">
        <f>NA()</f>
        <v>#N/A</v>
      </c>
      <c r="F436" s="1" t="e">
        <f>NA()</f>
        <v>#N/A</v>
      </c>
      <c r="G436" s="1" t="e">
        <f>NA()</f>
        <v>#N/A</v>
      </c>
      <c r="H436" s="1" t="e">
        <f>NA()</f>
        <v>#N/A</v>
      </c>
      <c r="I436" s="1" t="e">
        <f>NA()</f>
        <v>#N/A</v>
      </c>
      <c r="J436" s="1" t="e">
        <f>NA()</f>
        <v>#N/A</v>
      </c>
    </row>
    <row r="437" spans="1:10">
      <c r="A437" s="35"/>
      <c r="B437" s="36"/>
      <c r="C437" s="1">
        <v>3</v>
      </c>
      <c r="D437" s="1">
        <v>114</v>
      </c>
      <c r="E437" s="1" t="e">
        <f>NA()</f>
        <v>#N/A</v>
      </c>
      <c r="F437" s="1" t="e">
        <f>NA()</f>
        <v>#N/A</v>
      </c>
      <c r="G437" s="1" t="e">
        <f>NA()</f>
        <v>#N/A</v>
      </c>
      <c r="H437" s="1" t="e">
        <f>NA()</f>
        <v>#N/A</v>
      </c>
      <c r="I437" s="1" t="e">
        <f>NA()</f>
        <v>#N/A</v>
      </c>
      <c r="J437" s="1" t="e">
        <f>NA()</f>
        <v>#N/A</v>
      </c>
    </row>
    <row r="438" spans="1:10">
      <c r="A438" s="35"/>
      <c r="B438" s="36"/>
      <c r="C438" s="1">
        <v>4</v>
      </c>
      <c r="D438" s="1">
        <v>102</v>
      </c>
      <c r="E438" s="1" t="e">
        <f>NA()</f>
        <v>#N/A</v>
      </c>
      <c r="F438" s="1" t="e">
        <f>NA()</f>
        <v>#N/A</v>
      </c>
      <c r="G438" s="1" t="e">
        <f>NA()</f>
        <v>#N/A</v>
      </c>
      <c r="H438" s="1" t="e">
        <f>NA()</f>
        <v>#N/A</v>
      </c>
      <c r="I438" s="1" t="e">
        <f>NA()</f>
        <v>#N/A</v>
      </c>
      <c r="J438" s="1" t="e">
        <f>NA()</f>
        <v>#N/A</v>
      </c>
    </row>
    <row r="439" spans="1:10">
      <c r="A439" s="35"/>
      <c r="B439" s="36"/>
      <c r="C439" s="1">
        <v>5</v>
      </c>
      <c r="D439" s="1">
        <v>112</v>
      </c>
      <c r="E439" s="1" t="e">
        <f>NA()</f>
        <v>#N/A</v>
      </c>
      <c r="F439" s="1" t="e">
        <f>NA()</f>
        <v>#N/A</v>
      </c>
      <c r="G439" s="1" t="e">
        <f>NA()</f>
        <v>#N/A</v>
      </c>
      <c r="H439" s="1" t="e">
        <f>NA()</f>
        <v>#N/A</v>
      </c>
      <c r="I439" s="1" t="e">
        <f>NA()</f>
        <v>#N/A</v>
      </c>
      <c r="J439" s="1" t="e">
        <f>NA()</f>
        <v>#N/A</v>
      </c>
    </row>
    <row r="440" spans="1:10">
      <c r="A440" s="34" t="s">
        <v>78</v>
      </c>
      <c r="B440" s="36">
        <v>45529</v>
      </c>
      <c r="C440" s="1">
        <v>1</v>
      </c>
      <c r="D440" s="1">
        <v>106</v>
      </c>
      <c r="E440" s="1">
        <v>123</v>
      </c>
      <c r="F440" s="1" t="e">
        <f>NA()</f>
        <v>#N/A</v>
      </c>
      <c r="G440" s="1" t="e">
        <f>NA()</f>
        <v>#N/A</v>
      </c>
      <c r="H440" s="1">
        <v>79</v>
      </c>
      <c r="I440" s="1" t="e">
        <f>NA()</f>
        <v>#N/A</v>
      </c>
      <c r="J440" s="1" t="e">
        <f>NA()</f>
        <v>#N/A</v>
      </c>
    </row>
    <row r="441" spans="1:10">
      <c r="A441" s="35"/>
      <c r="B441" s="36"/>
      <c r="C441" s="1">
        <v>2</v>
      </c>
      <c r="D441" s="1">
        <v>127</v>
      </c>
      <c r="E441" s="1">
        <v>142</v>
      </c>
      <c r="F441" s="1" t="e">
        <f>NA()</f>
        <v>#N/A</v>
      </c>
      <c r="G441" s="1" t="e">
        <f>NA()</f>
        <v>#N/A</v>
      </c>
      <c r="H441" s="1">
        <v>114</v>
      </c>
      <c r="I441" s="1" t="e">
        <f>NA()</f>
        <v>#N/A</v>
      </c>
      <c r="J441" s="1" t="e">
        <f>NA()</f>
        <v>#N/A</v>
      </c>
    </row>
    <row r="442" spans="1:10">
      <c r="A442" s="35"/>
      <c r="B442" s="36"/>
      <c r="C442" s="1">
        <v>3</v>
      </c>
      <c r="D442" s="1">
        <v>96</v>
      </c>
      <c r="E442" s="1">
        <v>110</v>
      </c>
      <c r="F442" s="1" t="e">
        <f>NA()</f>
        <v>#N/A</v>
      </c>
      <c r="G442" s="1" t="e">
        <f>NA()</f>
        <v>#N/A</v>
      </c>
      <c r="H442" s="1">
        <v>79</v>
      </c>
      <c r="I442" s="1" t="e">
        <f>NA()</f>
        <v>#N/A</v>
      </c>
      <c r="J442" s="1" t="e">
        <f>NA()</f>
        <v>#N/A</v>
      </c>
    </row>
    <row r="443" spans="1:10">
      <c r="A443" s="35"/>
      <c r="B443" s="36"/>
      <c r="C443" s="1">
        <v>4</v>
      </c>
      <c r="D443" s="1">
        <v>122</v>
      </c>
      <c r="E443" s="1">
        <v>131</v>
      </c>
      <c r="F443" s="1" t="e">
        <f>NA()</f>
        <v>#N/A</v>
      </c>
      <c r="G443" s="1" t="e">
        <f>NA()</f>
        <v>#N/A</v>
      </c>
      <c r="H443" s="1">
        <v>104</v>
      </c>
      <c r="I443" s="1" t="e">
        <f>NA()</f>
        <v>#N/A</v>
      </c>
      <c r="J443" s="1" t="e">
        <f>NA()</f>
        <v>#N/A</v>
      </c>
    </row>
    <row r="444" spans="1:10">
      <c r="A444" s="35"/>
      <c r="B444" s="36"/>
      <c r="C444" s="1">
        <v>5</v>
      </c>
      <c r="D444" s="1">
        <v>100</v>
      </c>
      <c r="E444" s="1">
        <v>96</v>
      </c>
      <c r="F444" s="1" t="e">
        <f>NA()</f>
        <v>#N/A</v>
      </c>
      <c r="G444" s="1" t="e">
        <f>NA()</f>
        <v>#N/A</v>
      </c>
      <c r="H444" s="1">
        <v>95</v>
      </c>
      <c r="I444" s="1" t="e">
        <f>NA()</f>
        <v>#N/A</v>
      </c>
      <c r="J444" s="1" t="e">
        <f>NA()</f>
        <v>#N/A</v>
      </c>
    </row>
    <row r="445" spans="1:10">
      <c r="A445" s="34" t="s">
        <v>79</v>
      </c>
      <c r="B445" s="36">
        <v>45564</v>
      </c>
      <c r="C445" s="1">
        <v>1</v>
      </c>
      <c r="D445" s="1">
        <v>121</v>
      </c>
      <c r="E445" s="1">
        <v>104</v>
      </c>
      <c r="F445" s="1" t="e">
        <f>NA()</f>
        <v>#N/A</v>
      </c>
      <c r="G445" s="1" t="e">
        <f>NA()</f>
        <v>#N/A</v>
      </c>
      <c r="H445" s="1">
        <v>59</v>
      </c>
      <c r="I445" s="1">
        <v>98</v>
      </c>
      <c r="J445" s="1" t="e">
        <f>NA()</f>
        <v>#N/A</v>
      </c>
    </row>
    <row r="446" spans="1:10">
      <c r="A446" s="35"/>
      <c r="B446" s="36"/>
      <c r="C446" s="1">
        <v>2</v>
      </c>
      <c r="D446" s="1">
        <v>82</v>
      </c>
      <c r="E446" s="1">
        <v>134</v>
      </c>
      <c r="F446" s="1" t="e">
        <f>NA()</f>
        <v>#N/A</v>
      </c>
      <c r="G446" s="1" t="e">
        <f>NA()</f>
        <v>#N/A</v>
      </c>
      <c r="H446" s="1">
        <v>73</v>
      </c>
      <c r="I446" s="1">
        <v>108</v>
      </c>
      <c r="J446" s="1" t="e">
        <f>NA()</f>
        <v>#N/A</v>
      </c>
    </row>
    <row r="447" spans="1:10">
      <c r="A447" s="35"/>
      <c r="B447" s="36"/>
      <c r="C447" s="1">
        <v>3</v>
      </c>
      <c r="D447" s="1">
        <v>125</v>
      </c>
      <c r="E447" s="1">
        <v>179</v>
      </c>
      <c r="F447" s="1" t="e">
        <f>NA()</f>
        <v>#N/A</v>
      </c>
      <c r="G447" s="1" t="e">
        <f>NA()</f>
        <v>#N/A</v>
      </c>
      <c r="H447" s="1">
        <v>102</v>
      </c>
      <c r="I447" s="1">
        <v>109</v>
      </c>
      <c r="J447" s="1" t="e">
        <f>NA()</f>
        <v>#N/A</v>
      </c>
    </row>
    <row r="448" spans="1:10">
      <c r="A448" s="35"/>
      <c r="B448" s="36"/>
      <c r="C448" s="1">
        <v>4</v>
      </c>
      <c r="D448" s="1">
        <v>92</v>
      </c>
      <c r="E448" s="1">
        <v>148</v>
      </c>
      <c r="F448" s="1" t="e">
        <f>NA()</f>
        <v>#N/A</v>
      </c>
      <c r="G448" s="1" t="e">
        <f>NA()</f>
        <v>#N/A</v>
      </c>
      <c r="H448" s="1">
        <v>110</v>
      </c>
      <c r="I448" s="1">
        <v>143</v>
      </c>
      <c r="J448" s="1" t="e">
        <f>NA()</f>
        <v>#N/A</v>
      </c>
    </row>
    <row r="449" spans="1:10">
      <c r="A449" s="35"/>
      <c r="B449" s="36"/>
      <c r="C449" s="1">
        <v>5</v>
      </c>
      <c r="D449" s="1">
        <v>112</v>
      </c>
      <c r="E449" s="1">
        <v>140</v>
      </c>
      <c r="F449" s="1" t="e">
        <f>NA()</f>
        <v>#N/A</v>
      </c>
      <c r="G449" s="1" t="e">
        <f>NA()</f>
        <v>#N/A</v>
      </c>
      <c r="H449" s="1">
        <v>96</v>
      </c>
      <c r="I449" s="1">
        <v>114</v>
      </c>
      <c r="J449" s="1" t="e">
        <f>NA()</f>
        <v>#N/A</v>
      </c>
    </row>
    <row r="450" spans="1:10">
      <c r="A450" s="34" t="s">
        <v>80</v>
      </c>
      <c r="B450" s="36">
        <v>45585</v>
      </c>
      <c r="C450" s="1">
        <v>1</v>
      </c>
      <c r="D450" s="1">
        <v>103</v>
      </c>
      <c r="E450" s="1" t="e">
        <f>NA()</f>
        <v>#N/A</v>
      </c>
      <c r="F450" s="1" t="e">
        <f>NA()</f>
        <v>#N/A</v>
      </c>
      <c r="G450" s="1" t="e">
        <f>NA()</f>
        <v>#N/A</v>
      </c>
      <c r="H450" s="1">
        <v>107</v>
      </c>
      <c r="I450" s="1" t="e">
        <f>NA()</f>
        <v>#N/A</v>
      </c>
      <c r="J450" s="1" t="e">
        <f>NA()</f>
        <v>#N/A</v>
      </c>
    </row>
    <row r="451" spans="1:10">
      <c r="A451" s="35"/>
      <c r="B451" s="36"/>
      <c r="C451" s="1">
        <v>2</v>
      </c>
      <c r="D451" s="1">
        <v>109</v>
      </c>
      <c r="E451" s="1" t="e">
        <f>NA()</f>
        <v>#N/A</v>
      </c>
      <c r="F451" s="1" t="e">
        <f>NA()</f>
        <v>#N/A</v>
      </c>
      <c r="G451" s="1" t="e">
        <f>NA()</f>
        <v>#N/A</v>
      </c>
      <c r="H451" s="1">
        <v>94</v>
      </c>
      <c r="I451" s="1" t="e">
        <f>NA()</f>
        <v>#N/A</v>
      </c>
      <c r="J451" s="1" t="e">
        <f>NA()</f>
        <v>#N/A</v>
      </c>
    </row>
    <row r="452" spans="1:10">
      <c r="A452" s="35"/>
      <c r="B452" s="36"/>
      <c r="C452" s="1">
        <v>3</v>
      </c>
      <c r="D452" s="1">
        <v>115</v>
      </c>
      <c r="E452" s="1" t="e">
        <f>NA()</f>
        <v>#N/A</v>
      </c>
      <c r="F452" s="1" t="e">
        <f>NA()</f>
        <v>#N/A</v>
      </c>
      <c r="G452" s="1" t="e">
        <f>NA()</f>
        <v>#N/A</v>
      </c>
      <c r="H452" s="1">
        <v>97</v>
      </c>
      <c r="I452" s="1" t="e">
        <f>NA()</f>
        <v>#N/A</v>
      </c>
      <c r="J452" s="1" t="e">
        <f>NA()</f>
        <v>#N/A</v>
      </c>
    </row>
    <row r="453" spans="1:10">
      <c r="A453" s="35"/>
      <c r="B453" s="36"/>
      <c r="C453" s="1">
        <v>4</v>
      </c>
      <c r="D453" s="1">
        <v>114</v>
      </c>
      <c r="E453" s="1" t="e">
        <f>NA()</f>
        <v>#N/A</v>
      </c>
      <c r="F453" s="1" t="e">
        <f>NA()</f>
        <v>#N/A</v>
      </c>
      <c r="G453" s="1" t="e">
        <f>NA()</f>
        <v>#N/A</v>
      </c>
      <c r="H453" s="1">
        <v>95</v>
      </c>
      <c r="I453" s="1" t="e">
        <f>NA()</f>
        <v>#N/A</v>
      </c>
      <c r="J453" s="1" t="e">
        <f>NA()</f>
        <v>#N/A</v>
      </c>
    </row>
    <row r="454" spans="1:10">
      <c r="A454" s="35"/>
      <c r="B454" s="36"/>
      <c r="C454" s="1">
        <v>5</v>
      </c>
      <c r="D454" s="1">
        <v>97</v>
      </c>
      <c r="E454" s="1" t="e">
        <f>NA()</f>
        <v>#N/A</v>
      </c>
      <c r="F454" s="1" t="e">
        <f>NA()</f>
        <v>#N/A</v>
      </c>
      <c r="G454" s="1" t="e">
        <f>NA()</f>
        <v>#N/A</v>
      </c>
      <c r="H454" s="1">
        <v>136</v>
      </c>
      <c r="I454" s="1" t="e">
        <f>NA()</f>
        <v>#N/A</v>
      </c>
      <c r="J454" s="1" t="e">
        <f>NA()</f>
        <v>#N/A</v>
      </c>
    </row>
    <row r="455" spans="1:10">
      <c r="A455" s="34" t="s">
        <v>81</v>
      </c>
      <c r="B455" s="36">
        <v>45606</v>
      </c>
      <c r="C455" s="1">
        <v>1</v>
      </c>
      <c r="D455" s="1">
        <v>117</v>
      </c>
      <c r="E455" s="1" t="e">
        <f>NA()</f>
        <v>#N/A</v>
      </c>
      <c r="F455" s="1" t="e">
        <f>NA()</f>
        <v>#N/A</v>
      </c>
      <c r="G455" s="1" t="e">
        <f>NA()</f>
        <v>#N/A</v>
      </c>
      <c r="H455" s="1">
        <v>80</v>
      </c>
      <c r="I455" s="1" t="e">
        <f>NA()</f>
        <v>#N/A</v>
      </c>
      <c r="J455" s="1" t="e">
        <f>NA()</f>
        <v>#N/A</v>
      </c>
    </row>
    <row r="456" spans="1:10">
      <c r="A456" s="35"/>
      <c r="B456" s="36"/>
      <c r="C456" s="1">
        <v>2</v>
      </c>
      <c r="D456" s="1">
        <v>129</v>
      </c>
      <c r="E456" s="1" t="e">
        <f>NA()</f>
        <v>#N/A</v>
      </c>
      <c r="F456" s="1" t="e">
        <f>NA()</f>
        <v>#N/A</v>
      </c>
      <c r="G456" s="1" t="e">
        <f>NA()</f>
        <v>#N/A</v>
      </c>
      <c r="H456" s="1">
        <v>99</v>
      </c>
      <c r="I456" s="1" t="e">
        <f>NA()</f>
        <v>#N/A</v>
      </c>
      <c r="J456" s="1" t="e">
        <f>NA()</f>
        <v>#N/A</v>
      </c>
    </row>
    <row r="457" spans="1:10">
      <c r="A457" s="35"/>
      <c r="B457" s="36"/>
      <c r="C457" s="1">
        <v>3</v>
      </c>
      <c r="D457" s="1">
        <v>96</v>
      </c>
      <c r="E457" s="1" t="e">
        <f>NA()</f>
        <v>#N/A</v>
      </c>
      <c r="F457" s="1" t="e">
        <f>NA()</f>
        <v>#N/A</v>
      </c>
      <c r="G457" s="1" t="e">
        <f>NA()</f>
        <v>#N/A</v>
      </c>
      <c r="H457" s="1">
        <v>84</v>
      </c>
      <c r="I457" s="1" t="e">
        <f>NA()</f>
        <v>#N/A</v>
      </c>
      <c r="J457" s="1" t="e">
        <f>NA()</f>
        <v>#N/A</v>
      </c>
    </row>
    <row r="458" spans="1:10">
      <c r="A458" s="35"/>
      <c r="B458" s="36"/>
      <c r="C458" s="1">
        <v>4</v>
      </c>
      <c r="D458" s="1">
        <v>133</v>
      </c>
      <c r="E458" s="1" t="e">
        <f>NA()</f>
        <v>#N/A</v>
      </c>
      <c r="F458" s="1" t="e">
        <f>NA()</f>
        <v>#N/A</v>
      </c>
      <c r="G458" s="1" t="e">
        <f>NA()</f>
        <v>#N/A</v>
      </c>
      <c r="H458" s="1">
        <v>115</v>
      </c>
      <c r="I458" s="1" t="e">
        <f>NA()</f>
        <v>#N/A</v>
      </c>
      <c r="J458" s="1" t="e">
        <f>NA()</f>
        <v>#N/A</v>
      </c>
    </row>
    <row r="459" spans="1:10">
      <c r="A459" s="35"/>
      <c r="B459" s="36"/>
      <c r="C459" s="1">
        <v>5</v>
      </c>
      <c r="D459" s="1">
        <v>102</v>
      </c>
      <c r="E459" s="1" t="e">
        <f>NA()</f>
        <v>#N/A</v>
      </c>
      <c r="F459" s="1" t="e">
        <f>NA()</f>
        <v>#N/A</v>
      </c>
      <c r="G459" s="1" t="e">
        <f>NA()</f>
        <v>#N/A</v>
      </c>
      <c r="H459" s="1">
        <v>103</v>
      </c>
      <c r="I459" s="1" t="e">
        <f>NA()</f>
        <v>#N/A</v>
      </c>
      <c r="J459" s="1" t="e">
        <f>NA()</f>
        <v>#N/A</v>
      </c>
    </row>
    <row r="460" spans="1:10">
      <c r="A460" s="34" t="s">
        <v>82</v>
      </c>
      <c r="B460" s="36">
        <v>45620</v>
      </c>
      <c r="C460" s="1">
        <v>1</v>
      </c>
      <c r="D460" s="1">
        <v>108</v>
      </c>
      <c r="E460" s="1">
        <v>137</v>
      </c>
      <c r="F460" s="1" t="e">
        <f>NA()</f>
        <v>#N/A</v>
      </c>
      <c r="G460" s="1" t="e">
        <f>NA()</f>
        <v>#N/A</v>
      </c>
      <c r="H460" s="1">
        <v>103</v>
      </c>
      <c r="I460" s="1">
        <v>148</v>
      </c>
      <c r="J460" s="1" t="e">
        <f>NA()</f>
        <v>#N/A</v>
      </c>
    </row>
    <row r="461" spans="1:10">
      <c r="A461" s="35"/>
      <c r="B461" s="36"/>
      <c r="C461" s="1">
        <v>2</v>
      </c>
      <c r="D461" s="1">
        <v>108</v>
      </c>
      <c r="E461" s="1">
        <v>150</v>
      </c>
      <c r="F461" s="1" t="e">
        <f>NA()</f>
        <v>#N/A</v>
      </c>
      <c r="G461" s="1" t="e">
        <f>NA()</f>
        <v>#N/A</v>
      </c>
      <c r="H461" s="1">
        <v>73</v>
      </c>
      <c r="I461" s="1">
        <v>118</v>
      </c>
      <c r="J461" s="1" t="e">
        <f>NA()</f>
        <v>#N/A</v>
      </c>
    </row>
    <row r="462" spans="1:10">
      <c r="A462" s="35"/>
      <c r="B462" s="36"/>
      <c r="C462" s="1">
        <v>3</v>
      </c>
      <c r="D462" s="1">
        <v>130</v>
      </c>
      <c r="E462" s="1">
        <v>148</v>
      </c>
      <c r="F462" s="1" t="e">
        <f>NA()</f>
        <v>#N/A</v>
      </c>
      <c r="G462" s="1" t="e">
        <f>NA()</f>
        <v>#N/A</v>
      </c>
      <c r="H462" s="1">
        <v>89</v>
      </c>
      <c r="I462" s="1">
        <v>105</v>
      </c>
      <c r="J462" s="1" t="e">
        <f>NA()</f>
        <v>#N/A</v>
      </c>
    </row>
    <row r="463" spans="1:10">
      <c r="A463" s="35"/>
      <c r="B463" s="36"/>
      <c r="C463" s="1">
        <v>4</v>
      </c>
      <c r="D463" s="1">
        <v>124</v>
      </c>
      <c r="E463" s="1">
        <v>179</v>
      </c>
      <c r="F463" s="1" t="e">
        <f>NA()</f>
        <v>#N/A</v>
      </c>
      <c r="G463" s="1" t="e">
        <f>NA()</f>
        <v>#N/A</v>
      </c>
      <c r="H463" s="1">
        <v>71</v>
      </c>
      <c r="I463" s="1">
        <v>105</v>
      </c>
      <c r="J463" s="1" t="e">
        <f>NA()</f>
        <v>#N/A</v>
      </c>
    </row>
    <row r="464" spans="1:10">
      <c r="A464" s="35"/>
      <c r="B464" s="36"/>
      <c r="C464" s="1">
        <v>5</v>
      </c>
      <c r="D464" s="1">
        <v>110</v>
      </c>
      <c r="E464" s="1">
        <v>133</v>
      </c>
      <c r="F464" s="1" t="e">
        <f>NA()</f>
        <v>#N/A</v>
      </c>
      <c r="G464" s="1" t="e">
        <f>NA()</f>
        <v>#N/A</v>
      </c>
      <c r="H464" s="1">
        <v>102</v>
      </c>
      <c r="I464" s="1">
        <v>118</v>
      </c>
      <c r="J464" s="1" t="e">
        <f>NA()</f>
        <v>#N/A</v>
      </c>
    </row>
    <row r="465" spans="1:10">
      <c r="A465" s="34" t="s">
        <v>83</v>
      </c>
      <c r="B465" s="36">
        <v>45646</v>
      </c>
      <c r="C465" s="1">
        <v>1</v>
      </c>
      <c r="D465" s="1" t="e">
        <f>NA()</f>
        <v>#N/A</v>
      </c>
      <c r="E465" s="1">
        <v>159</v>
      </c>
      <c r="F465" s="1" t="e">
        <f>NA()</f>
        <v>#N/A</v>
      </c>
      <c r="G465" s="1" t="e">
        <f>NA()</f>
        <v>#N/A</v>
      </c>
      <c r="H465" s="1" t="e">
        <f>NA()</f>
        <v>#N/A</v>
      </c>
      <c r="I465" s="1" t="e">
        <f>NA()</f>
        <v>#N/A</v>
      </c>
      <c r="J465" s="1" t="e">
        <f>NA()</f>
        <v>#N/A</v>
      </c>
    </row>
    <row r="466" spans="1:10">
      <c r="A466" s="35"/>
      <c r="B466" s="36"/>
      <c r="C466" s="1">
        <v>2</v>
      </c>
      <c r="D466" s="1" t="e">
        <f>NA()</f>
        <v>#N/A</v>
      </c>
      <c r="E466" s="1">
        <v>134</v>
      </c>
      <c r="F466" s="1" t="e">
        <f>NA()</f>
        <v>#N/A</v>
      </c>
      <c r="G466" s="1" t="e">
        <f>NA()</f>
        <v>#N/A</v>
      </c>
      <c r="H466" s="1" t="e">
        <f>NA()</f>
        <v>#N/A</v>
      </c>
      <c r="I466" s="1" t="e">
        <f>NA()</f>
        <v>#N/A</v>
      </c>
      <c r="J466" s="1" t="e">
        <f>NA()</f>
        <v>#N/A</v>
      </c>
    </row>
    <row r="467" spans="1:10">
      <c r="A467" s="35"/>
      <c r="B467" s="36"/>
      <c r="C467" s="1">
        <v>3</v>
      </c>
      <c r="D467" s="1" t="e">
        <f>NA()</f>
        <v>#N/A</v>
      </c>
      <c r="E467" s="1">
        <v>176</v>
      </c>
      <c r="F467" s="1" t="e">
        <f>NA()</f>
        <v>#N/A</v>
      </c>
      <c r="G467" s="1" t="e">
        <f>NA()</f>
        <v>#N/A</v>
      </c>
      <c r="H467" s="1" t="e">
        <f>NA()</f>
        <v>#N/A</v>
      </c>
      <c r="I467" s="1" t="e">
        <f>NA()</f>
        <v>#N/A</v>
      </c>
      <c r="J467" s="1" t="e">
        <f>NA()</f>
        <v>#N/A</v>
      </c>
    </row>
    <row r="468" spans="1:10">
      <c r="A468" s="35"/>
      <c r="B468" s="36"/>
      <c r="C468" s="1">
        <v>4</v>
      </c>
      <c r="D468" s="1" t="e">
        <f>NA()</f>
        <v>#N/A</v>
      </c>
      <c r="E468" s="1">
        <v>162</v>
      </c>
      <c r="F468" s="1" t="e">
        <f>NA()</f>
        <v>#N/A</v>
      </c>
      <c r="G468" s="1" t="e">
        <f>NA()</f>
        <v>#N/A</v>
      </c>
      <c r="H468" s="1" t="e">
        <f>NA()</f>
        <v>#N/A</v>
      </c>
      <c r="I468" s="1" t="e">
        <f>NA()</f>
        <v>#N/A</v>
      </c>
      <c r="J468" s="1" t="e">
        <f>NA()</f>
        <v>#N/A</v>
      </c>
    </row>
    <row r="469" spans="1:10">
      <c r="A469" s="35"/>
      <c r="B469" s="36"/>
      <c r="C469" s="1">
        <v>5</v>
      </c>
      <c r="D469" s="1" t="e">
        <f>NA()</f>
        <v>#N/A</v>
      </c>
      <c r="E469" s="1">
        <v>127</v>
      </c>
      <c r="F469" s="1" t="e">
        <f>NA()</f>
        <v>#N/A</v>
      </c>
      <c r="G469" s="1" t="e">
        <f>NA()</f>
        <v>#N/A</v>
      </c>
      <c r="H469" s="1" t="e">
        <f>NA()</f>
        <v>#N/A</v>
      </c>
      <c r="I469" s="1" t="e">
        <f>NA()</f>
        <v>#N/A</v>
      </c>
      <c r="J469" s="1" t="e">
        <f>NA()</f>
        <v>#N/A</v>
      </c>
    </row>
    <row r="470" spans="1:10">
      <c r="A470" s="50" t="s">
        <v>84</v>
      </c>
      <c r="B470" s="36">
        <v>45655</v>
      </c>
      <c r="C470" s="1">
        <v>1</v>
      </c>
      <c r="D470" s="1">
        <v>122</v>
      </c>
      <c r="E470" s="1" t="e">
        <f>NA()</f>
        <v>#N/A</v>
      </c>
      <c r="F470" s="1" t="e">
        <f>NA()</f>
        <v>#N/A</v>
      </c>
      <c r="G470" s="1" t="e">
        <f>NA()</f>
        <v>#N/A</v>
      </c>
      <c r="H470" s="1">
        <v>80</v>
      </c>
      <c r="I470" s="1" t="e">
        <f>NA()</f>
        <v>#N/A</v>
      </c>
      <c r="J470" s="1" t="e">
        <f>NA()</f>
        <v>#N/A</v>
      </c>
    </row>
    <row r="471" spans="1:10">
      <c r="A471" s="40"/>
      <c r="B471" s="36"/>
      <c r="C471" s="1">
        <v>2</v>
      </c>
      <c r="D471" s="1">
        <v>143</v>
      </c>
      <c r="E471" s="1" t="e">
        <f>NA()</f>
        <v>#N/A</v>
      </c>
      <c r="F471" s="1" t="e">
        <f>NA()</f>
        <v>#N/A</v>
      </c>
      <c r="G471" s="1" t="e">
        <f>NA()</f>
        <v>#N/A</v>
      </c>
      <c r="H471" s="1">
        <v>89</v>
      </c>
      <c r="I471" s="1" t="e">
        <f>NA()</f>
        <v>#N/A</v>
      </c>
      <c r="J471" s="1" t="e">
        <f>NA()</f>
        <v>#N/A</v>
      </c>
    </row>
    <row r="472" spans="1:10">
      <c r="A472" s="40"/>
      <c r="B472" s="36"/>
      <c r="C472" s="1">
        <v>3</v>
      </c>
      <c r="D472" s="1">
        <v>130</v>
      </c>
      <c r="E472" s="1" t="e">
        <f>NA()</f>
        <v>#N/A</v>
      </c>
      <c r="F472" s="1" t="e">
        <f>NA()</f>
        <v>#N/A</v>
      </c>
      <c r="G472" s="1" t="e">
        <f>NA()</f>
        <v>#N/A</v>
      </c>
      <c r="H472" s="1">
        <v>68</v>
      </c>
      <c r="I472" s="1" t="e">
        <f>NA()</f>
        <v>#N/A</v>
      </c>
      <c r="J472" s="1" t="e">
        <f>NA()</f>
        <v>#N/A</v>
      </c>
    </row>
    <row r="473" spans="1:10">
      <c r="A473" s="40"/>
      <c r="B473" s="36"/>
      <c r="C473" s="1">
        <v>4</v>
      </c>
      <c r="D473" s="1">
        <v>84</v>
      </c>
      <c r="E473" s="1" t="e">
        <f>NA()</f>
        <v>#N/A</v>
      </c>
      <c r="F473" s="1" t="e">
        <f>NA()</f>
        <v>#N/A</v>
      </c>
      <c r="G473" s="1" t="e">
        <f>NA()</f>
        <v>#N/A</v>
      </c>
      <c r="H473" s="1">
        <v>106</v>
      </c>
      <c r="I473" s="1" t="e">
        <f>NA()</f>
        <v>#N/A</v>
      </c>
      <c r="J473" s="1" t="e">
        <f>NA()</f>
        <v>#N/A</v>
      </c>
    </row>
    <row r="474" spans="1:10">
      <c r="A474" s="40"/>
      <c r="B474" s="36"/>
      <c r="C474" s="1">
        <v>5</v>
      </c>
      <c r="D474" s="1">
        <v>154</v>
      </c>
      <c r="E474" s="1" t="e">
        <f>NA()</f>
        <v>#N/A</v>
      </c>
      <c r="F474" s="1" t="e">
        <f>NA()</f>
        <v>#N/A</v>
      </c>
      <c r="G474" s="1" t="e">
        <f>NA()</f>
        <v>#N/A</v>
      </c>
      <c r="H474" s="1">
        <v>146</v>
      </c>
      <c r="I474" s="1" t="e">
        <f>NA()</f>
        <v>#N/A</v>
      </c>
      <c r="J474" s="1" t="e">
        <f>NA()</f>
        <v>#N/A</v>
      </c>
    </row>
    <row r="475" spans="1:10">
      <c r="A475" s="34" t="s">
        <v>85</v>
      </c>
      <c r="B475" s="36">
        <v>45669</v>
      </c>
      <c r="C475" s="1">
        <v>1</v>
      </c>
      <c r="D475" s="1">
        <v>105</v>
      </c>
      <c r="E475" s="1">
        <v>106</v>
      </c>
      <c r="F475" s="1" t="e">
        <f>NA()</f>
        <v>#N/A</v>
      </c>
      <c r="G475" s="1" t="e">
        <f>NA()</f>
        <v>#N/A</v>
      </c>
      <c r="H475" s="1" t="e">
        <f>NA()</f>
        <v>#N/A</v>
      </c>
      <c r="I475" s="1">
        <v>132</v>
      </c>
      <c r="J475" s="1" t="e">
        <f>NA()</f>
        <v>#N/A</v>
      </c>
    </row>
    <row r="476" spans="1:10">
      <c r="A476" s="35"/>
      <c r="B476" s="36"/>
      <c r="C476" s="1">
        <v>2</v>
      </c>
      <c r="D476" s="1">
        <v>123</v>
      </c>
      <c r="E476" s="1">
        <v>112</v>
      </c>
      <c r="F476" s="1" t="e">
        <f>NA()</f>
        <v>#N/A</v>
      </c>
      <c r="G476" s="1" t="e">
        <f>NA()</f>
        <v>#N/A</v>
      </c>
      <c r="H476" s="1" t="e">
        <f>NA()</f>
        <v>#N/A</v>
      </c>
      <c r="I476" s="1">
        <v>126</v>
      </c>
      <c r="J476" s="1" t="e">
        <f>NA()</f>
        <v>#N/A</v>
      </c>
    </row>
    <row r="477" spans="1:10">
      <c r="A477" s="35"/>
      <c r="B477" s="36"/>
      <c r="C477" s="1">
        <v>3</v>
      </c>
      <c r="D477" s="1">
        <v>190</v>
      </c>
      <c r="E477" s="29">
        <v>102</v>
      </c>
      <c r="F477" s="1" t="e">
        <f>NA()</f>
        <v>#N/A</v>
      </c>
      <c r="G477" s="1" t="e">
        <f>NA()</f>
        <v>#N/A</v>
      </c>
      <c r="H477" s="1" t="e">
        <f>NA()</f>
        <v>#N/A</v>
      </c>
      <c r="I477" s="29">
        <v>120</v>
      </c>
      <c r="J477" s="1" t="e">
        <f>NA()</f>
        <v>#N/A</v>
      </c>
    </row>
    <row r="478" spans="1:10">
      <c r="A478" s="35"/>
      <c r="B478" s="36"/>
      <c r="C478" s="1">
        <v>4</v>
      </c>
      <c r="D478" s="1">
        <v>102</v>
      </c>
      <c r="E478" s="1">
        <v>123</v>
      </c>
      <c r="F478" s="1" t="e">
        <f>NA()</f>
        <v>#N/A</v>
      </c>
      <c r="G478" s="1" t="e">
        <f>NA()</f>
        <v>#N/A</v>
      </c>
      <c r="H478" s="1" t="e">
        <f>NA()</f>
        <v>#N/A</v>
      </c>
      <c r="I478" s="1">
        <v>101</v>
      </c>
      <c r="J478" s="1" t="e">
        <f>NA()</f>
        <v>#N/A</v>
      </c>
    </row>
    <row r="479" spans="1:10">
      <c r="A479" s="35"/>
      <c r="B479" s="36"/>
      <c r="C479" s="1">
        <v>5</v>
      </c>
      <c r="D479" s="1">
        <v>113</v>
      </c>
      <c r="E479" s="1">
        <v>113</v>
      </c>
      <c r="F479" s="1" t="e">
        <f>NA()</f>
        <v>#N/A</v>
      </c>
      <c r="G479" s="1" t="e">
        <f>NA()</f>
        <v>#N/A</v>
      </c>
      <c r="H479" s="1" t="e">
        <f>NA()</f>
        <v>#N/A</v>
      </c>
      <c r="I479" s="1">
        <v>120</v>
      </c>
      <c r="J479" s="1" t="e">
        <f>NA()</f>
        <v>#N/A</v>
      </c>
    </row>
    <row r="480" spans="1:10">
      <c r="A480" s="34" t="s">
        <v>86</v>
      </c>
      <c r="B480" s="36">
        <v>45684</v>
      </c>
      <c r="C480" s="1">
        <v>1</v>
      </c>
      <c r="D480" s="1">
        <v>115</v>
      </c>
      <c r="E480" s="1">
        <v>160</v>
      </c>
      <c r="F480" s="1" t="e">
        <f>NA()</f>
        <v>#N/A</v>
      </c>
      <c r="G480" s="1" t="e">
        <f>NA()</f>
        <v>#N/A</v>
      </c>
      <c r="H480" s="1" t="e">
        <f>NA()</f>
        <v>#N/A</v>
      </c>
      <c r="I480" s="1" t="e">
        <f>NA()</f>
        <v>#N/A</v>
      </c>
      <c r="J480" s="1" t="e">
        <f>NA()</f>
        <v>#N/A</v>
      </c>
    </row>
    <row r="481" spans="1:10">
      <c r="A481" s="35"/>
      <c r="B481" s="36"/>
      <c r="C481" s="1">
        <v>2</v>
      </c>
      <c r="D481" s="1">
        <v>118</v>
      </c>
      <c r="E481" s="1">
        <v>147</v>
      </c>
      <c r="F481" s="1" t="e">
        <f>NA()</f>
        <v>#N/A</v>
      </c>
      <c r="G481" s="1" t="e">
        <f>NA()</f>
        <v>#N/A</v>
      </c>
      <c r="H481" s="1" t="e">
        <f>NA()</f>
        <v>#N/A</v>
      </c>
      <c r="I481" s="1" t="e">
        <f>NA()</f>
        <v>#N/A</v>
      </c>
      <c r="J481" s="1" t="e">
        <f>NA()</f>
        <v>#N/A</v>
      </c>
    </row>
    <row r="482" spans="1:10">
      <c r="A482" s="35"/>
      <c r="B482" s="36"/>
      <c r="C482" s="1">
        <v>3</v>
      </c>
      <c r="D482" s="1">
        <v>121</v>
      </c>
      <c r="E482" s="30">
        <v>126</v>
      </c>
      <c r="F482" s="1" t="e">
        <f>NA()</f>
        <v>#N/A</v>
      </c>
      <c r="G482" s="1" t="e">
        <f>NA()</f>
        <v>#N/A</v>
      </c>
      <c r="H482" s="1" t="e">
        <f>NA()</f>
        <v>#N/A</v>
      </c>
      <c r="I482" s="1" t="e">
        <f>NA()</f>
        <v>#N/A</v>
      </c>
      <c r="J482" s="1" t="e">
        <f>NA()</f>
        <v>#N/A</v>
      </c>
    </row>
    <row r="483" spans="1:10">
      <c r="A483" s="35"/>
      <c r="B483" s="36"/>
      <c r="C483" s="1">
        <v>4</v>
      </c>
      <c r="D483" s="1">
        <v>147</v>
      </c>
      <c r="E483" s="1">
        <v>120</v>
      </c>
      <c r="F483" s="1" t="e">
        <f>NA()</f>
        <v>#N/A</v>
      </c>
      <c r="G483" s="1" t="e">
        <f>NA()</f>
        <v>#N/A</v>
      </c>
      <c r="H483" s="1" t="e">
        <f>NA()</f>
        <v>#N/A</v>
      </c>
      <c r="I483" s="1" t="e">
        <f>NA()</f>
        <v>#N/A</v>
      </c>
      <c r="J483" s="1" t="e">
        <f>NA()</f>
        <v>#N/A</v>
      </c>
    </row>
    <row r="484" spans="1:10">
      <c r="A484" s="35"/>
      <c r="B484" s="36"/>
      <c r="C484" s="1">
        <v>5</v>
      </c>
      <c r="D484" s="1">
        <v>118</v>
      </c>
      <c r="E484" s="1">
        <v>112</v>
      </c>
      <c r="F484" s="1" t="e">
        <f>NA()</f>
        <v>#N/A</v>
      </c>
      <c r="G484" s="1" t="e">
        <f>NA()</f>
        <v>#N/A</v>
      </c>
      <c r="H484" s="1" t="e">
        <f>NA()</f>
        <v>#N/A</v>
      </c>
      <c r="I484" s="1" t="e">
        <f>NA()</f>
        <v>#N/A</v>
      </c>
      <c r="J484" s="1" t="e">
        <f>NA()</f>
        <v>#N/A</v>
      </c>
    </row>
    <row r="485" spans="1:10">
      <c r="A485" s="34" t="s">
        <v>87</v>
      </c>
      <c r="B485" s="36">
        <v>45687</v>
      </c>
      <c r="C485" s="1">
        <v>1</v>
      </c>
      <c r="D485" s="1" t="e">
        <f>NA()</f>
        <v>#N/A</v>
      </c>
      <c r="E485" s="1">
        <v>158</v>
      </c>
      <c r="F485" s="1" t="e">
        <f>NA()</f>
        <v>#N/A</v>
      </c>
      <c r="G485" s="1" t="e">
        <f>NA()</f>
        <v>#N/A</v>
      </c>
      <c r="H485" s="1">
        <v>95</v>
      </c>
      <c r="I485" s="1">
        <v>129</v>
      </c>
      <c r="J485" s="1" t="e">
        <f>NA()</f>
        <v>#N/A</v>
      </c>
    </row>
    <row r="486" spans="1:10">
      <c r="A486" s="35"/>
      <c r="B486" s="36"/>
      <c r="C486" s="1">
        <v>2</v>
      </c>
      <c r="D486" s="1" t="e">
        <f>NA()</f>
        <v>#N/A</v>
      </c>
      <c r="E486" s="1">
        <v>161</v>
      </c>
      <c r="F486" s="1" t="e">
        <f>NA()</f>
        <v>#N/A</v>
      </c>
      <c r="G486" s="1" t="e">
        <f>NA()</f>
        <v>#N/A</v>
      </c>
      <c r="H486" s="1">
        <v>100</v>
      </c>
      <c r="I486" s="1">
        <v>102</v>
      </c>
      <c r="J486" s="1" t="e">
        <f>NA()</f>
        <v>#N/A</v>
      </c>
    </row>
    <row r="487" spans="1:10">
      <c r="A487" s="35"/>
      <c r="B487" s="36"/>
      <c r="C487" s="1">
        <v>3</v>
      </c>
      <c r="D487" s="1" t="e">
        <f>NA()</f>
        <v>#N/A</v>
      </c>
      <c r="E487" s="1">
        <v>134</v>
      </c>
      <c r="F487" s="1" t="e">
        <f>NA()</f>
        <v>#N/A</v>
      </c>
      <c r="G487" s="1" t="e">
        <f>NA()</f>
        <v>#N/A</v>
      </c>
      <c r="H487" s="1">
        <v>85</v>
      </c>
      <c r="I487" s="30">
        <v>95</v>
      </c>
      <c r="J487" s="1" t="e">
        <f>NA()</f>
        <v>#N/A</v>
      </c>
    </row>
    <row r="488" spans="1:10">
      <c r="A488" s="35"/>
      <c r="B488" s="36"/>
      <c r="C488" s="1">
        <v>4</v>
      </c>
      <c r="D488" s="1" t="e">
        <f>NA()</f>
        <v>#N/A</v>
      </c>
      <c r="E488" s="1">
        <v>158</v>
      </c>
      <c r="F488" s="1" t="e">
        <f>NA()</f>
        <v>#N/A</v>
      </c>
      <c r="G488" s="1" t="e">
        <f>NA()</f>
        <v>#N/A</v>
      </c>
      <c r="H488" s="1">
        <v>137</v>
      </c>
      <c r="I488" s="1">
        <v>101</v>
      </c>
      <c r="J488" s="1" t="e">
        <f>NA()</f>
        <v>#N/A</v>
      </c>
    </row>
    <row r="489" spans="1:10">
      <c r="A489" s="35"/>
      <c r="B489" s="36"/>
      <c r="C489" s="1">
        <v>5</v>
      </c>
      <c r="D489" s="1" t="e">
        <f>NA()</f>
        <v>#N/A</v>
      </c>
      <c r="E489" s="1">
        <v>152</v>
      </c>
      <c r="F489" s="1" t="e">
        <f>NA()</f>
        <v>#N/A</v>
      </c>
      <c r="G489" s="1" t="e">
        <f>NA()</f>
        <v>#N/A</v>
      </c>
      <c r="H489" s="1">
        <v>115</v>
      </c>
      <c r="I489" s="1">
        <v>94</v>
      </c>
      <c r="J489" s="1" t="e">
        <f>NA()</f>
        <v>#N/A</v>
      </c>
    </row>
    <row r="490" spans="1:10">
      <c r="A490" s="34" t="s">
        <v>88</v>
      </c>
      <c r="B490" s="36">
        <v>45725</v>
      </c>
      <c r="C490" s="1">
        <v>1</v>
      </c>
      <c r="D490" s="1">
        <v>105</v>
      </c>
      <c r="E490" s="1">
        <v>66</v>
      </c>
      <c r="F490" s="1" t="e">
        <f>NA()</f>
        <v>#N/A</v>
      </c>
      <c r="G490" s="1" t="e">
        <f>NA()</f>
        <v>#N/A</v>
      </c>
      <c r="H490" s="1">
        <v>59</v>
      </c>
      <c r="I490" s="1">
        <v>181</v>
      </c>
      <c r="J490" s="1" t="e">
        <f>NA()</f>
        <v>#N/A</v>
      </c>
    </row>
    <row r="491" spans="1:10">
      <c r="A491" s="35"/>
      <c r="B491" s="36"/>
      <c r="C491" s="1">
        <v>2</v>
      </c>
      <c r="D491" s="1">
        <v>124</v>
      </c>
      <c r="E491" s="1">
        <v>93</v>
      </c>
      <c r="F491" s="1" t="e">
        <f>NA()</f>
        <v>#N/A</v>
      </c>
      <c r="G491" s="1" t="e">
        <f>NA()</f>
        <v>#N/A</v>
      </c>
      <c r="H491" s="1">
        <v>84</v>
      </c>
      <c r="I491" s="1">
        <v>85</v>
      </c>
      <c r="J491" s="1" t="e">
        <f>NA()</f>
        <v>#N/A</v>
      </c>
    </row>
    <row r="492" spans="1:10">
      <c r="A492" s="35"/>
      <c r="B492" s="36"/>
      <c r="C492" s="1">
        <v>3</v>
      </c>
      <c r="D492" s="1">
        <v>108</v>
      </c>
      <c r="E492" s="1">
        <v>126</v>
      </c>
      <c r="F492" s="1" t="e">
        <f>NA()</f>
        <v>#N/A</v>
      </c>
      <c r="G492" s="1" t="e">
        <f>NA()</f>
        <v>#N/A</v>
      </c>
      <c r="H492" s="1">
        <v>68</v>
      </c>
      <c r="I492" s="30">
        <v>77</v>
      </c>
      <c r="J492" s="1" t="e">
        <f>NA()</f>
        <v>#N/A</v>
      </c>
    </row>
    <row r="493" spans="1:10">
      <c r="A493" s="35"/>
      <c r="B493" s="36"/>
      <c r="C493" s="1">
        <v>4</v>
      </c>
      <c r="D493" s="1">
        <v>111</v>
      </c>
      <c r="E493" s="1">
        <v>143</v>
      </c>
      <c r="F493" s="1" t="e">
        <f>NA()</f>
        <v>#N/A</v>
      </c>
      <c r="G493" s="1" t="e">
        <f>NA()</f>
        <v>#N/A</v>
      </c>
      <c r="H493" s="1">
        <v>87</v>
      </c>
      <c r="I493" s="1">
        <v>73</v>
      </c>
      <c r="J493" s="1" t="e">
        <f>NA()</f>
        <v>#N/A</v>
      </c>
    </row>
    <row r="494" spans="1:10">
      <c r="A494" s="35"/>
      <c r="B494" s="36"/>
      <c r="C494" s="1">
        <v>5</v>
      </c>
      <c r="D494" s="1">
        <v>101</v>
      </c>
      <c r="E494" s="1">
        <v>131</v>
      </c>
      <c r="F494" s="1" t="e">
        <f>NA()</f>
        <v>#N/A</v>
      </c>
      <c r="G494" s="1" t="e">
        <f>NA()</f>
        <v>#N/A</v>
      </c>
      <c r="H494" s="1">
        <v>65</v>
      </c>
      <c r="I494" s="1">
        <v>110</v>
      </c>
      <c r="J494" s="1" t="e">
        <f>NA()</f>
        <v>#N/A</v>
      </c>
    </row>
    <row r="495" spans="1:10">
      <c r="A495" s="34" t="s">
        <v>89</v>
      </c>
      <c r="B495" s="36">
        <v>45751</v>
      </c>
      <c r="C495" s="1">
        <v>1</v>
      </c>
      <c r="D495" s="1">
        <v>84</v>
      </c>
      <c r="E495" s="1" t="e">
        <f>NA()</f>
        <v>#N/A</v>
      </c>
      <c r="F495" s="1" t="e">
        <f>NA()</f>
        <v>#N/A</v>
      </c>
      <c r="G495" s="1" t="e">
        <f>NA()</f>
        <v>#N/A</v>
      </c>
      <c r="H495" s="1">
        <v>78</v>
      </c>
      <c r="I495" s="1" t="e">
        <f>NA()</f>
        <v>#N/A</v>
      </c>
      <c r="J495" s="1" t="e">
        <f>NA()</f>
        <v>#N/A</v>
      </c>
    </row>
    <row r="496" spans="1:10">
      <c r="A496" s="35"/>
      <c r="B496" s="36"/>
      <c r="C496" s="1">
        <v>2</v>
      </c>
      <c r="D496" s="1">
        <v>123</v>
      </c>
      <c r="E496" s="1" t="e">
        <f>NA()</f>
        <v>#N/A</v>
      </c>
      <c r="F496" s="1" t="e">
        <f>NA()</f>
        <v>#N/A</v>
      </c>
      <c r="G496" s="1" t="e">
        <f>NA()</f>
        <v>#N/A</v>
      </c>
      <c r="H496" s="1">
        <v>102</v>
      </c>
      <c r="I496" s="1" t="e">
        <f>NA()</f>
        <v>#N/A</v>
      </c>
      <c r="J496" s="1" t="e">
        <f>NA()</f>
        <v>#N/A</v>
      </c>
    </row>
    <row r="497" spans="1:10">
      <c r="A497" s="35"/>
      <c r="B497" s="36"/>
      <c r="C497" s="1">
        <v>3</v>
      </c>
      <c r="D497" s="1">
        <v>101</v>
      </c>
      <c r="E497" s="1" t="e">
        <f>NA()</f>
        <v>#N/A</v>
      </c>
      <c r="F497" s="1" t="e">
        <f>NA()</f>
        <v>#N/A</v>
      </c>
      <c r="G497" s="1" t="e">
        <f>NA()</f>
        <v>#N/A</v>
      </c>
      <c r="H497" s="1">
        <v>114</v>
      </c>
      <c r="I497" s="1" t="e">
        <f>NA()</f>
        <v>#N/A</v>
      </c>
      <c r="J497" s="1" t="e">
        <f>NA()</f>
        <v>#N/A</v>
      </c>
    </row>
    <row r="498" spans="1:10">
      <c r="A498" s="35"/>
      <c r="B498" s="36"/>
      <c r="C498" s="1">
        <v>4</v>
      </c>
      <c r="D498" s="1">
        <v>126</v>
      </c>
      <c r="E498" s="1" t="e">
        <f>NA()</f>
        <v>#N/A</v>
      </c>
      <c r="F498" s="1" t="e">
        <f>NA()</f>
        <v>#N/A</v>
      </c>
      <c r="G498" s="1" t="e">
        <f>NA()</f>
        <v>#N/A</v>
      </c>
      <c r="H498" s="1">
        <v>113</v>
      </c>
      <c r="I498" s="1" t="e">
        <f>NA()</f>
        <v>#N/A</v>
      </c>
      <c r="J498" s="1" t="e">
        <f>NA()</f>
        <v>#N/A</v>
      </c>
    </row>
    <row r="499" spans="1:10">
      <c r="A499" s="35"/>
      <c r="B499" s="36"/>
      <c r="C499" s="1">
        <v>5</v>
      </c>
      <c r="D499" s="1">
        <v>124</v>
      </c>
      <c r="E499" s="1" t="e">
        <f>NA()</f>
        <v>#N/A</v>
      </c>
      <c r="F499" s="1" t="e">
        <f>NA()</f>
        <v>#N/A</v>
      </c>
      <c r="G499" s="1" t="e">
        <f>NA()</f>
        <v>#N/A</v>
      </c>
      <c r="H499" s="1">
        <v>112</v>
      </c>
      <c r="I499" s="1" t="e">
        <f>NA()</f>
        <v>#N/A</v>
      </c>
      <c r="J499" s="1" t="e">
        <f>NA()</f>
        <v>#N/A</v>
      </c>
    </row>
    <row r="500" spans="1:10">
      <c r="A500" s="34" t="s">
        <v>90</v>
      </c>
      <c r="B500" s="36">
        <v>45767</v>
      </c>
      <c r="C500" s="1">
        <v>1</v>
      </c>
      <c r="D500" s="1">
        <v>141</v>
      </c>
      <c r="E500" s="1" t="e">
        <f>NA()</f>
        <v>#N/A</v>
      </c>
      <c r="F500" s="1" t="e">
        <f>NA()</f>
        <v>#N/A</v>
      </c>
      <c r="G500" s="1" t="e">
        <f>NA()</f>
        <v>#N/A</v>
      </c>
      <c r="H500" s="1">
        <v>81</v>
      </c>
      <c r="I500" s="1" t="e">
        <f>NA()</f>
        <v>#N/A</v>
      </c>
      <c r="J500" s="1" t="e">
        <f>NA()</f>
        <v>#N/A</v>
      </c>
    </row>
    <row r="501" spans="1:10">
      <c r="A501" s="35"/>
      <c r="B501" s="36"/>
      <c r="C501" s="1">
        <v>2</v>
      </c>
      <c r="D501" s="1">
        <v>160</v>
      </c>
      <c r="E501" s="1" t="e">
        <f>NA()</f>
        <v>#N/A</v>
      </c>
      <c r="F501" s="1" t="e">
        <f>NA()</f>
        <v>#N/A</v>
      </c>
      <c r="G501" s="1" t="e">
        <f>NA()</f>
        <v>#N/A</v>
      </c>
      <c r="H501" s="1">
        <v>76</v>
      </c>
      <c r="I501" s="1" t="e">
        <f>NA()</f>
        <v>#N/A</v>
      </c>
      <c r="J501" s="1" t="e">
        <f>NA()</f>
        <v>#N/A</v>
      </c>
    </row>
    <row r="502" spans="1:10">
      <c r="A502" s="35"/>
      <c r="B502" s="36"/>
      <c r="C502" s="1">
        <v>3</v>
      </c>
      <c r="D502" s="1">
        <v>97</v>
      </c>
      <c r="E502" s="1" t="e">
        <f>NA()</f>
        <v>#N/A</v>
      </c>
      <c r="F502" s="1" t="e">
        <f>NA()</f>
        <v>#N/A</v>
      </c>
      <c r="G502" s="1" t="e">
        <f>NA()</f>
        <v>#N/A</v>
      </c>
      <c r="H502" s="1">
        <v>100</v>
      </c>
      <c r="I502" s="1" t="e">
        <f>NA()</f>
        <v>#N/A</v>
      </c>
      <c r="J502" s="1" t="e">
        <f>NA()</f>
        <v>#N/A</v>
      </c>
    </row>
    <row r="503" spans="1:10">
      <c r="A503" s="35"/>
      <c r="B503" s="36"/>
      <c r="C503" s="1">
        <v>4</v>
      </c>
      <c r="D503" s="1">
        <v>101</v>
      </c>
      <c r="E503" s="1" t="e">
        <f>NA()</f>
        <v>#N/A</v>
      </c>
      <c r="F503" s="1" t="e">
        <f>NA()</f>
        <v>#N/A</v>
      </c>
      <c r="G503" s="1" t="e">
        <f>NA()</f>
        <v>#N/A</v>
      </c>
      <c r="H503" s="1">
        <v>104</v>
      </c>
      <c r="I503" s="1" t="e">
        <f>NA()</f>
        <v>#N/A</v>
      </c>
      <c r="J503" s="1" t="e">
        <f>NA()</f>
        <v>#N/A</v>
      </c>
    </row>
    <row r="504" spans="1:10">
      <c r="A504" s="35"/>
      <c r="B504" s="36"/>
      <c r="C504" s="1">
        <v>5</v>
      </c>
      <c r="D504" s="1">
        <v>117</v>
      </c>
      <c r="E504" s="1" t="e">
        <f>NA()</f>
        <v>#N/A</v>
      </c>
      <c r="F504" s="1" t="e">
        <f>NA()</f>
        <v>#N/A</v>
      </c>
      <c r="G504" s="1" t="e">
        <f>NA()</f>
        <v>#N/A</v>
      </c>
      <c r="H504" s="1">
        <v>129</v>
      </c>
      <c r="I504" s="1" t="e">
        <f>NA()</f>
        <v>#N/A</v>
      </c>
      <c r="J504" s="1" t="e">
        <f>NA()</f>
        <v>#N/A</v>
      </c>
    </row>
    <row r="505" spans="1:10">
      <c r="A505" s="34" t="s">
        <v>92</v>
      </c>
      <c r="B505" s="36">
        <v>45781</v>
      </c>
      <c r="C505" s="1">
        <v>1</v>
      </c>
      <c r="D505" s="1">
        <v>80</v>
      </c>
      <c r="E505" s="1">
        <v>101</v>
      </c>
      <c r="F505" s="1" t="e">
        <f>NA()</f>
        <v>#N/A</v>
      </c>
      <c r="G505" s="1" t="e">
        <f>NA()</f>
        <v>#N/A</v>
      </c>
      <c r="H505" s="1">
        <v>137</v>
      </c>
      <c r="I505" s="1">
        <v>103</v>
      </c>
      <c r="J505" s="1" t="e">
        <f>NA()</f>
        <v>#N/A</v>
      </c>
    </row>
    <row r="506" spans="1:10">
      <c r="A506" s="35"/>
      <c r="B506" s="36"/>
      <c r="C506" s="1">
        <v>2</v>
      </c>
      <c r="D506" s="1">
        <v>158</v>
      </c>
      <c r="E506" s="1">
        <v>122</v>
      </c>
      <c r="F506" s="1" t="e">
        <f>NA()</f>
        <v>#N/A</v>
      </c>
      <c r="G506" s="1" t="e">
        <f>NA()</f>
        <v>#N/A</v>
      </c>
      <c r="H506" s="1">
        <v>124</v>
      </c>
      <c r="I506" s="1">
        <v>58</v>
      </c>
      <c r="J506" s="1" t="e">
        <f>NA()</f>
        <v>#N/A</v>
      </c>
    </row>
    <row r="507" spans="1:10">
      <c r="A507" s="35"/>
      <c r="B507" s="36"/>
      <c r="C507" s="1">
        <v>3</v>
      </c>
      <c r="D507" s="1">
        <v>118</v>
      </c>
      <c r="E507" s="1">
        <v>146</v>
      </c>
      <c r="F507" s="1" t="e">
        <f>NA()</f>
        <v>#N/A</v>
      </c>
      <c r="G507" s="1" t="e">
        <f>NA()</f>
        <v>#N/A</v>
      </c>
      <c r="H507" s="1">
        <v>102</v>
      </c>
      <c r="I507" s="1">
        <v>77</v>
      </c>
      <c r="J507" s="1" t="e">
        <f>NA()</f>
        <v>#N/A</v>
      </c>
    </row>
    <row r="508" spans="1:10">
      <c r="A508" s="35"/>
      <c r="B508" s="36"/>
      <c r="C508" s="1">
        <v>4</v>
      </c>
      <c r="D508" s="1">
        <v>144</v>
      </c>
      <c r="E508" s="1">
        <v>128</v>
      </c>
      <c r="F508" s="1" t="e">
        <f>NA()</f>
        <v>#N/A</v>
      </c>
      <c r="G508" s="1" t="e">
        <f>NA()</f>
        <v>#N/A</v>
      </c>
      <c r="H508" s="1">
        <v>96</v>
      </c>
      <c r="I508" s="1">
        <v>76</v>
      </c>
      <c r="J508" s="1" t="e">
        <f>NA()</f>
        <v>#N/A</v>
      </c>
    </row>
    <row r="509" spans="1:10">
      <c r="A509" s="35"/>
      <c r="B509" s="36"/>
      <c r="C509" s="1">
        <v>5</v>
      </c>
      <c r="D509" s="1">
        <v>110</v>
      </c>
      <c r="E509" s="1">
        <v>129</v>
      </c>
      <c r="F509" s="1" t="e">
        <f>NA()</f>
        <v>#N/A</v>
      </c>
      <c r="G509" s="1" t="e">
        <f>NA()</f>
        <v>#N/A</v>
      </c>
      <c r="H509" s="1">
        <v>96</v>
      </c>
      <c r="I509" s="1">
        <v>96</v>
      </c>
      <c r="J509" s="1" t="e">
        <f>NA()</f>
        <v>#N/A</v>
      </c>
    </row>
    <row r="510" spans="1:10">
      <c r="A510" s="34" t="s">
        <v>93</v>
      </c>
      <c r="B510" s="36">
        <v>45802</v>
      </c>
      <c r="C510" s="1">
        <v>1</v>
      </c>
      <c r="D510" s="1">
        <v>112</v>
      </c>
      <c r="E510" s="1">
        <v>138</v>
      </c>
      <c r="F510" s="1" t="e">
        <f>NA()</f>
        <v>#N/A</v>
      </c>
      <c r="G510" s="1" t="e">
        <f>NA()</f>
        <v>#N/A</v>
      </c>
      <c r="H510" s="1">
        <v>90</v>
      </c>
      <c r="I510" s="1">
        <v>150</v>
      </c>
      <c r="J510" s="1">
        <v>82</v>
      </c>
    </row>
    <row r="511" spans="1:10">
      <c r="A511" s="35"/>
      <c r="B511" s="36"/>
      <c r="C511" s="1">
        <v>2</v>
      </c>
      <c r="D511" s="1">
        <v>119</v>
      </c>
      <c r="E511" s="1">
        <v>104</v>
      </c>
      <c r="F511" s="1" t="e">
        <f>NA()</f>
        <v>#N/A</v>
      </c>
      <c r="G511" s="1" t="e">
        <f>NA()</f>
        <v>#N/A</v>
      </c>
      <c r="H511" s="1">
        <v>103</v>
      </c>
      <c r="I511" s="1">
        <v>107</v>
      </c>
      <c r="J511" s="1">
        <v>114</v>
      </c>
    </row>
    <row r="512" spans="1:10">
      <c r="A512" s="35"/>
      <c r="B512" s="36"/>
      <c r="C512" s="1">
        <v>3</v>
      </c>
      <c r="D512" s="1">
        <v>119</v>
      </c>
      <c r="E512" s="1">
        <v>133</v>
      </c>
      <c r="F512" s="1" t="e">
        <f>NA()</f>
        <v>#N/A</v>
      </c>
      <c r="G512" s="1" t="e">
        <f>NA()</f>
        <v>#N/A</v>
      </c>
      <c r="H512" s="1">
        <v>90</v>
      </c>
      <c r="I512" s="1">
        <v>112</v>
      </c>
      <c r="J512" s="1">
        <v>122</v>
      </c>
    </row>
    <row r="513" spans="1:10">
      <c r="A513" s="35"/>
      <c r="B513" s="36"/>
      <c r="C513" s="1">
        <v>4</v>
      </c>
      <c r="D513" s="1">
        <v>111</v>
      </c>
      <c r="E513" s="1">
        <v>92</v>
      </c>
      <c r="F513" s="1" t="e">
        <f>NA()</f>
        <v>#N/A</v>
      </c>
      <c r="G513" s="1" t="e">
        <f>NA()</f>
        <v>#N/A</v>
      </c>
      <c r="H513" s="1">
        <v>113</v>
      </c>
      <c r="I513" s="1">
        <v>111</v>
      </c>
      <c r="J513" s="1">
        <v>127</v>
      </c>
    </row>
    <row r="514" spans="1:10">
      <c r="A514" s="35"/>
      <c r="B514" s="36"/>
      <c r="C514" s="1">
        <v>5</v>
      </c>
      <c r="D514" s="1">
        <v>106</v>
      </c>
      <c r="E514" s="1">
        <v>138</v>
      </c>
      <c r="F514" s="1" t="e">
        <f>NA()</f>
        <v>#N/A</v>
      </c>
      <c r="G514" s="1" t="e">
        <f>NA()</f>
        <v>#N/A</v>
      </c>
      <c r="H514" s="1">
        <v>146</v>
      </c>
      <c r="I514" s="1">
        <v>135</v>
      </c>
      <c r="J514" s="1">
        <v>121</v>
      </c>
    </row>
    <row r="515" spans="1:10">
      <c r="A515" s="34" t="s">
        <v>94</v>
      </c>
      <c r="B515" s="36">
        <v>45823</v>
      </c>
      <c r="C515" s="1">
        <v>1</v>
      </c>
      <c r="D515" s="1">
        <v>95</v>
      </c>
      <c r="E515" s="1">
        <v>84</v>
      </c>
      <c r="F515" s="1" t="e">
        <f>NA()</f>
        <v>#N/A</v>
      </c>
      <c r="G515" s="1" t="e">
        <f>NA()</f>
        <v>#N/A</v>
      </c>
      <c r="H515" s="1">
        <v>100</v>
      </c>
      <c r="I515" s="1">
        <v>85</v>
      </c>
      <c r="J515" s="1" t="e">
        <f>NA()</f>
        <v>#N/A</v>
      </c>
    </row>
    <row r="516" spans="1:10">
      <c r="A516" s="35"/>
      <c r="B516" s="36"/>
      <c r="C516" s="1">
        <v>2</v>
      </c>
      <c r="D516" s="1">
        <v>153</v>
      </c>
      <c r="E516" s="1">
        <v>126</v>
      </c>
      <c r="F516" s="1" t="e">
        <f>NA()</f>
        <v>#N/A</v>
      </c>
      <c r="G516" s="1" t="e">
        <f>NA()</f>
        <v>#N/A</v>
      </c>
      <c r="H516" s="1">
        <v>135</v>
      </c>
      <c r="I516" s="1">
        <v>111</v>
      </c>
      <c r="J516" s="1" t="e">
        <f>NA()</f>
        <v>#N/A</v>
      </c>
    </row>
    <row r="517" spans="1:10">
      <c r="A517" s="35"/>
      <c r="B517" s="36"/>
      <c r="C517" s="1">
        <v>3</v>
      </c>
      <c r="D517" s="1">
        <v>181</v>
      </c>
      <c r="E517" s="1">
        <v>157</v>
      </c>
      <c r="F517" s="1" t="e">
        <f>NA()</f>
        <v>#N/A</v>
      </c>
      <c r="G517" s="1" t="e">
        <f>NA()</f>
        <v>#N/A</v>
      </c>
      <c r="H517" s="1">
        <v>105</v>
      </c>
      <c r="I517" s="1">
        <v>88</v>
      </c>
      <c r="J517" s="1" t="e">
        <f>NA()</f>
        <v>#N/A</v>
      </c>
    </row>
    <row r="518" spans="1:10">
      <c r="A518" s="35"/>
      <c r="B518" s="36"/>
      <c r="C518" s="1">
        <v>4</v>
      </c>
      <c r="D518" s="1">
        <v>132</v>
      </c>
      <c r="E518" s="1">
        <v>122</v>
      </c>
      <c r="F518" s="1" t="e">
        <f>NA()</f>
        <v>#N/A</v>
      </c>
      <c r="G518" s="1" t="e">
        <f>NA()</f>
        <v>#N/A</v>
      </c>
      <c r="H518" s="1">
        <v>108</v>
      </c>
      <c r="I518" s="1">
        <v>120</v>
      </c>
      <c r="J518" s="1" t="e">
        <f>NA()</f>
        <v>#N/A</v>
      </c>
    </row>
    <row r="519" spans="1:10">
      <c r="A519" s="35"/>
      <c r="B519" s="36"/>
      <c r="C519" s="1">
        <v>5</v>
      </c>
      <c r="D519" s="1">
        <v>108</v>
      </c>
      <c r="E519" s="1">
        <v>152</v>
      </c>
      <c r="F519" s="1" t="e">
        <f>NA()</f>
        <v>#N/A</v>
      </c>
      <c r="G519" s="1" t="e">
        <f>NA()</f>
        <v>#N/A</v>
      </c>
      <c r="H519" s="1">
        <v>98</v>
      </c>
      <c r="I519" s="1">
        <v>138</v>
      </c>
      <c r="J519" s="1" t="e">
        <f>NA()</f>
        <v>#N/A</v>
      </c>
    </row>
    <row r="520" spans="1:10">
      <c r="A520" s="50" t="s">
        <v>95</v>
      </c>
      <c r="B520" s="36">
        <v>45879</v>
      </c>
      <c r="C520" s="1">
        <v>1</v>
      </c>
      <c r="D520" s="1">
        <v>110</v>
      </c>
      <c r="E520" s="1">
        <v>145</v>
      </c>
      <c r="F520" s="1" t="e">
        <f>NA()</f>
        <v>#N/A</v>
      </c>
      <c r="G520" s="1" t="e">
        <f>NA()</f>
        <v>#N/A</v>
      </c>
      <c r="H520" s="1">
        <v>135</v>
      </c>
      <c r="I520" s="1">
        <v>117</v>
      </c>
      <c r="J520" s="1" t="e">
        <f>NA()</f>
        <v>#N/A</v>
      </c>
    </row>
    <row r="521" spans="1:10">
      <c r="A521" s="40"/>
      <c r="B521" s="36"/>
      <c r="C521" s="1">
        <v>2</v>
      </c>
      <c r="D521" s="1">
        <v>106</v>
      </c>
      <c r="E521" s="1">
        <v>123</v>
      </c>
      <c r="F521" s="1" t="e">
        <f>NA()</f>
        <v>#N/A</v>
      </c>
      <c r="G521" s="1" t="e">
        <f>NA()</f>
        <v>#N/A</v>
      </c>
      <c r="H521" s="1">
        <v>138</v>
      </c>
      <c r="I521" s="1">
        <v>84</v>
      </c>
      <c r="J521" s="1" t="e">
        <f>NA()</f>
        <v>#N/A</v>
      </c>
    </row>
    <row r="522" spans="1:10">
      <c r="A522" s="40"/>
      <c r="B522" s="36"/>
      <c r="C522" s="1">
        <v>3</v>
      </c>
      <c r="D522" s="1">
        <v>151</v>
      </c>
      <c r="E522" s="1">
        <v>113</v>
      </c>
      <c r="F522" s="1" t="e">
        <f>NA()</f>
        <v>#N/A</v>
      </c>
      <c r="G522" s="1" t="e">
        <f>NA()</f>
        <v>#N/A</v>
      </c>
      <c r="H522" s="1">
        <v>110</v>
      </c>
      <c r="I522" s="1">
        <v>115</v>
      </c>
      <c r="J522" s="1" t="e">
        <f>NA()</f>
        <v>#N/A</v>
      </c>
    </row>
    <row r="523" spans="1:10">
      <c r="A523" s="40"/>
      <c r="B523" s="36"/>
      <c r="C523" s="1">
        <v>4</v>
      </c>
      <c r="D523" s="1">
        <v>93</v>
      </c>
      <c r="E523" s="1">
        <v>128</v>
      </c>
      <c r="F523" s="1" t="e">
        <f>NA()</f>
        <v>#N/A</v>
      </c>
      <c r="G523" s="1" t="e">
        <f>NA()</f>
        <v>#N/A</v>
      </c>
      <c r="H523" s="1">
        <v>100</v>
      </c>
      <c r="I523" s="1">
        <v>114</v>
      </c>
      <c r="J523" s="1" t="e">
        <f>NA()</f>
        <v>#N/A</v>
      </c>
    </row>
    <row r="524" spans="1:10">
      <c r="A524" s="40"/>
      <c r="B524" s="36"/>
      <c r="C524" s="1">
        <v>5</v>
      </c>
      <c r="D524" s="1">
        <v>111</v>
      </c>
      <c r="E524" s="1">
        <v>98</v>
      </c>
      <c r="F524" s="1" t="e">
        <f>NA()</f>
        <v>#N/A</v>
      </c>
      <c r="G524" s="1" t="e">
        <f>NA()</f>
        <v>#N/A</v>
      </c>
      <c r="H524" s="1">
        <v>118</v>
      </c>
      <c r="I524" s="1">
        <v>89</v>
      </c>
      <c r="J524" s="1" t="e">
        <f>NA()</f>
        <v>#N/A</v>
      </c>
    </row>
    <row r="525" spans="1:10">
      <c r="A525" s="34" t="s">
        <v>96</v>
      </c>
      <c r="B525" s="36">
        <v>45893</v>
      </c>
      <c r="C525" s="1">
        <v>1</v>
      </c>
      <c r="D525" s="1">
        <v>123</v>
      </c>
      <c r="E525" s="1" t="e">
        <f>NA()</f>
        <v>#N/A</v>
      </c>
      <c r="F525" s="1" t="e">
        <f>NA()</f>
        <v>#N/A</v>
      </c>
      <c r="G525" s="1" t="e">
        <f>NA()</f>
        <v>#N/A</v>
      </c>
      <c r="H525" s="1">
        <v>169</v>
      </c>
      <c r="I525" s="1">
        <v>90</v>
      </c>
      <c r="J525" s="1" t="e">
        <f>NA()</f>
        <v>#N/A</v>
      </c>
    </row>
    <row r="526" spans="1:10">
      <c r="A526" s="35"/>
      <c r="B526" s="36"/>
      <c r="C526" s="1">
        <v>2</v>
      </c>
      <c r="D526" s="1">
        <v>114</v>
      </c>
      <c r="E526" s="1" t="e">
        <f>NA()</f>
        <v>#N/A</v>
      </c>
      <c r="F526" s="1" t="e">
        <f>NA()</f>
        <v>#N/A</v>
      </c>
      <c r="G526" s="1" t="e">
        <f>NA()</f>
        <v>#N/A</v>
      </c>
      <c r="H526" s="1">
        <v>110</v>
      </c>
      <c r="I526" s="1">
        <v>77</v>
      </c>
      <c r="J526" s="1" t="e">
        <f>NA()</f>
        <v>#N/A</v>
      </c>
    </row>
    <row r="527" spans="1:10">
      <c r="A527" s="35"/>
      <c r="B527" s="36"/>
      <c r="C527" s="1">
        <v>3</v>
      </c>
      <c r="D527" s="1">
        <v>136</v>
      </c>
      <c r="E527" s="1" t="e">
        <f>NA()</f>
        <v>#N/A</v>
      </c>
      <c r="F527" s="1" t="e">
        <f>NA()</f>
        <v>#N/A</v>
      </c>
      <c r="G527" s="1" t="e">
        <f>NA()</f>
        <v>#N/A</v>
      </c>
      <c r="H527" s="1">
        <v>102</v>
      </c>
      <c r="I527" s="1">
        <v>106</v>
      </c>
      <c r="J527" s="1" t="e">
        <f>NA()</f>
        <v>#N/A</v>
      </c>
    </row>
    <row r="528" spans="1:10">
      <c r="A528" s="35"/>
      <c r="B528" s="36"/>
      <c r="C528" s="1">
        <v>4</v>
      </c>
      <c r="D528" s="1">
        <v>116</v>
      </c>
      <c r="E528" s="1" t="e">
        <f>NA()</f>
        <v>#N/A</v>
      </c>
      <c r="F528" s="1" t="e">
        <f>NA()</f>
        <v>#N/A</v>
      </c>
      <c r="G528" s="1" t="e">
        <f>NA()</f>
        <v>#N/A</v>
      </c>
      <c r="H528" s="1">
        <v>102</v>
      </c>
      <c r="I528" s="1">
        <v>104</v>
      </c>
      <c r="J528" s="1" t="e">
        <f>NA()</f>
        <v>#N/A</v>
      </c>
    </row>
    <row r="529" spans="1:10">
      <c r="A529" s="35"/>
      <c r="B529" s="36"/>
      <c r="C529" s="1">
        <v>5</v>
      </c>
      <c r="D529" s="1">
        <v>139</v>
      </c>
      <c r="E529" s="1" t="e">
        <f>NA()</f>
        <v>#N/A</v>
      </c>
      <c r="F529" s="1" t="e">
        <f>NA()</f>
        <v>#N/A</v>
      </c>
      <c r="G529" s="1" t="e">
        <f>NA()</f>
        <v>#N/A</v>
      </c>
      <c r="H529" s="1">
        <v>125</v>
      </c>
      <c r="I529" s="29">
        <v>55</v>
      </c>
      <c r="J529" s="1" t="e">
        <f>NA()</f>
        <v>#N/A</v>
      </c>
    </row>
    <row r="530" spans="1:10">
      <c r="A530" s="34" t="s">
        <v>97</v>
      </c>
      <c r="B530" s="36">
        <v>45899</v>
      </c>
      <c r="C530" s="1">
        <v>1</v>
      </c>
      <c r="D530" s="1">
        <v>124</v>
      </c>
      <c r="E530" s="1" t="e">
        <f>NA()</f>
        <v>#N/A</v>
      </c>
      <c r="F530" s="1" t="e">
        <f>NA()</f>
        <v>#N/A</v>
      </c>
      <c r="G530" s="1" t="e">
        <f>NA()</f>
        <v>#N/A</v>
      </c>
      <c r="H530" s="1">
        <v>130</v>
      </c>
      <c r="I530" s="1" t="e">
        <f>NA()</f>
        <v>#N/A</v>
      </c>
      <c r="J530" s="1" t="e">
        <f>NA()</f>
        <v>#N/A</v>
      </c>
    </row>
    <row r="531" spans="1:10">
      <c r="A531" s="35"/>
      <c r="B531" s="36"/>
      <c r="C531" s="1">
        <v>2</v>
      </c>
      <c r="D531" s="1">
        <v>150</v>
      </c>
      <c r="E531" s="1" t="e">
        <f>NA()</f>
        <v>#N/A</v>
      </c>
      <c r="F531" s="1" t="e">
        <f>NA()</f>
        <v>#N/A</v>
      </c>
      <c r="G531" s="1" t="e">
        <f>NA()</f>
        <v>#N/A</v>
      </c>
      <c r="H531" s="1">
        <v>144</v>
      </c>
      <c r="I531" s="1" t="e">
        <f>NA()</f>
        <v>#N/A</v>
      </c>
      <c r="J531" s="1" t="e">
        <f>NA()</f>
        <v>#N/A</v>
      </c>
    </row>
    <row r="532" spans="1:10">
      <c r="A532" s="35"/>
      <c r="B532" s="36"/>
      <c r="C532" s="1">
        <v>3</v>
      </c>
      <c r="D532" s="1">
        <v>122</v>
      </c>
      <c r="E532" s="1" t="e">
        <f>NA()</f>
        <v>#N/A</v>
      </c>
      <c r="F532" s="1" t="e">
        <f>NA()</f>
        <v>#N/A</v>
      </c>
      <c r="G532" s="1" t="e">
        <f>NA()</f>
        <v>#N/A</v>
      </c>
      <c r="H532" s="1">
        <v>127</v>
      </c>
      <c r="I532" s="1" t="e">
        <f>NA()</f>
        <v>#N/A</v>
      </c>
      <c r="J532" s="1" t="e">
        <f>NA()</f>
        <v>#N/A</v>
      </c>
    </row>
    <row r="533" spans="1:10">
      <c r="A533" s="35"/>
      <c r="B533" s="36"/>
      <c r="C533" s="1">
        <v>4</v>
      </c>
      <c r="D533" s="1">
        <v>128</v>
      </c>
      <c r="E533" s="1" t="e">
        <f>NA()</f>
        <v>#N/A</v>
      </c>
      <c r="F533" s="1" t="e">
        <f>NA()</f>
        <v>#N/A</v>
      </c>
      <c r="G533" s="1" t="e">
        <f>NA()</f>
        <v>#N/A</v>
      </c>
      <c r="H533" s="1">
        <v>105</v>
      </c>
      <c r="I533" s="1" t="e">
        <f>NA()</f>
        <v>#N/A</v>
      </c>
      <c r="J533" s="1" t="e">
        <f>NA()</f>
        <v>#N/A</v>
      </c>
    </row>
    <row r="534" spans="1:10">
      <c r="A534" s="35"/>
      <c r="B534" s="36"/>
      <c r="C534" s="1">
        <v>5</v>
      </c>
      <c r="D534" s="1">
        <v>181</v>
      </c>
      <c r="E534" s="1" t="e">
        <f>NA()</f>
        <v>#N/A</v>
      </c>
      <c r="F534" s="1" t="e">
        <f>NA()</f>
        <v>#N/A</v>
      </c>
      <c r="G534" s="1" t="e">
        <f>NA()</f>
        <v>#N/A</v>
      </c>
      <c r="H534" s="1">
        <v>117</v>
      </c>
      <c r="I534" s="1" t="e">
        <f>NA()</f>
        <v>#N/A</v>
      </c>
      <c r="J534" s="1" t="e">
        <f>NA()</f>
        <v>#N/A</v>
      </c>
    </row>
    <row r="535" spans="1:10">
      <c r="A535" s="34" t="s">
        <v>98</v>
      </c>
      <c r="B535" s="36">
        <v>45906</v>
      </c>
      <c r="C535" s="1">
        <v>1</v>
      </c>
      <c r="D535" s="1">
        <v>110</v>
      </c>
      <c r="E535" s="1">
        <v>132</v>
      </c>
      <c r="F535" s="1" t="e">
        <f>NA()</f>
        <v>#N/A</v>
      </c>
      <c r="G535" s="1" t="e">
        <f>NA()</f>
        <v>#N/A</v>
      </c>
      <c r="H535" s="1">
        <v>125</v>
      </c>
      <c r="I535" s="1">
        <v>88</v>
      </c>
      <c r="J535" s="1" t="e">
        <f>NA()</f>
        <v>#N/A</v>
      </c>
    </row>
    <row r="536" spans="1:10">
      <c r="A536" s="35"/>
      <c r="B536" s="36"/>
      <c r="C536" s="1">
        <v>2</v>
      </c>
      <c r="D536" s="1">
        <v>144</v>
      </c>
      <c r="E536" s="1">
        <v>138</v>
      </c>
      <c r="F536" s="1" t="e">
        <f>NA()</f>
        <v>#N/A</v>
      </c>
      <c r="G536" s="1" t="e">
        <f>NA()</f>
        <v>#N/A</v>
      </c>
      <c r="H536" s="1">
        <v>115</v>
      </c>
      <c r="I536" s="1">
        <v>115</v>
      </c>
      <c r="J536" s="1" t="e">
        <f>NA()</f>
        <v>#N/A</v>
      </c>
    </row>
    <row r="537" spans="1:10">
      <c r="A537" s="35"/>
      <c r="B537" s="36"/>
      <c r="C537" s="1">
        <v>3</v>
      </c>
      <c r="D537" s="1">
        <v>107</v>
      </c>
      <c r="E537" s="1">
        <v>218</v>
      </c>
      <c r="F537" s="1" t="e">
        <f>NA()</f>
        <v>#N/A</v>
      </c>
      <c r="G537" s="1" t="e">
        <f>NA()</f>
        <v>#N/A</v>
      </c>
      <c r="H537" s="1">
        <v>123</v>
      </c>
      <c r="I537" s="1">
        <v>124</v>
      </c>
      <c r="J537" s="1" t="e">
        <f>NA()</f>
        <v>#N/A</v>
      </c>
    </row>
    <row r="538" spans="1:10">
      <c r="A538" s="35"/>
      <c r="B538" s="36"/>
      <c r="C538" s="1">
        <v>4</v>
      </c>
      <c r="D538" s="1">
        <v>115</v>
      </c>
      <c r="E538" s="1">
        <v>147</v>
      </c>
      <c r="F538" s="1" t="e">
        <f>NA()</f>
        <v>#N/A</v>
      </c>
      <c r="G538" s="1" t="e">
        <f>NA()</f>
        <v>#N/A</v>
      </c>
      <c r="H538" s="1">
        <v>109</v>
      </c>
      <c r="I538" s="1">
        <v>75</v>
      </c>
      <c r="J538" s="1" t="e">
        <f>NA()</f>
        <v>#N/A</v>
      </c>
    </row>
    <row r="539" spans="1:10">
      <c r="A539" s="35"/>
      <c r="B539" s="36"/>
      <c r="C539" s="1">
        <v>5</v>
      </c>
      <c r="D539" s="1">
        <v>126</v>
      </c>
      <c r="E539" s="1">
        <v>138</v>
      </c>
      <c r="F539" s="1" t="e">
        <f>NA()</f>
        <v>#N/A</v>
      </c>
      <c r="G539" s="1" t="e">
        <f>NA()</f>
        <v>#N/A</v>
      </c>
      <c r="H539" s="1">
        <v>96</v>
      </c>
      <c r="I539" s="1">
        <v>85</v>
      </c>
      <c r="J539" s="1" t="e">
        <f>NA()</f>
        <v>#N/A</v>
      </c>
    </row>
    <row r="540" spans="1:10">
      <c r="A540" s="34" t="s">
        <v>99</v>
      </c>
      <c r="B540" s="36">
        <v>45920</v>
      </c>
      <c r="C540" s="1">
        <v>1</v>
      </c>
      <c r="D540" s="1">
        <v>129</v>
      </c>
      <c r="E540" s="1" t="e">
        <f>NA()</f>
        <v>#N/A</v>
      </c>
      <c r="F540" s="1" t="e">
        <f>NA()</f>
        <v>#N/A</v>
      </c>
      <c r="G540" s="1" t="e">
        <f>NA()</f>
        <v>#N/A</v>
      </c>
      <c r="H540" s="1" t="e">
        <f>NA()</f>
        <v>#N/A</v>
      </c>
      <c r="I540" s="1" t="e">
        <f>NA()</f>
        <v>#N/A</v>
      </c>
      <c r="J540" s="1" t="e">
        <f>NA()</f>
        <v>#N/A</v>
      </c>
    </row>
    <row r="541" spans="1:10">
      <c r="A541" s="35"/>
      <c r="B541" s="36"/>
      <c r="C541" s="1">
        <v>2</v>
      </c>
      <c r="D541" s="1">
        <v>114</v>
      </c>
      <c r="E541" s="1" t="e">
        <f>NA()</f>
        <v>#N/A</v>
      </c>
      <c r="F541" s="1" t="e">
        <f>NA()</f>
        <v>#N/A</v>
      </c>
      <c r="G541" s="1" t="e">
        <f>NA()</f>
        <v>#N/A</v>
      </c>
      <c r="H541" s="1" t="e">
        <f>NA()</f>
        <v>#N/A</v>
      </c>
      <c r="I541" s="1" t="e">
        <f>NA()</f>
        <v>#N/A</v>
      </c>
      <c r="J541" s="1" t="e">
        <f>NA()</f>
        <v>#N/A</v>
      </c>
    </row>
    <row r="542" spans="1:10">
      <c r="A542" s="35"/>
      <c r="B542" s="36"/>
      <c r="C542" s="1">
        <v>3</v>
      </c>
      <c r="D542" s="1">
        <v>139</v>
      </c>
      <c r="E542" s="1" t="e">
        <f>NA()</f>
        <v>#N/A</v>
      </c>
      <c r="F542" s="1" t="e">
        <f>NA()</f>
        <v>#N/A</v>
      </c>
      <c r="G542" s="1" t="e">
        <f>NA()</f>
        <v>#N/A</v>
      </c>
      <c r="H542" s="1" t="e">
        <f>NA()</f>
        <v>#N/A</v>
      </c>
      <c r="I542" s="1" t="e">
        <f>NA()</f>
        <v>#N/A</v>
      </c>
      <c r="J542" s="1" t="e">
        <f>NA()</f>
        <v>#N/A</v>
      </c>
    </row>
    <row r="543" spans="1:10">
      <c r="A543" s="35"/>
      <c r="B543" s="36"/>
      <c r="C543" s="1">
        <v>4</v>
      </c>
      <c r="D543" s="1">
        <v>119</v>
      </c>
      <c r="E543" s="1" t="e">
        <f>NA()</f>
        <v>#N/A</v>
      </c>
      <c r="F543" s="1" t="e">
        <f>NA()</f>
        <v>#N/A</v>
      </c>
      <c r="G543" s="1" t="e">
        <f>NA()</f>
        <v>#N/A</v>
      </c>
      <c r="H543" s="1" t="e">
        <f>NA()</f>
        <v>#N/A</v>
      </c>
      <c r="I543" s="1" t="e">
        <f>NA()</f>
        <v>#N/A</v>
      </c>
      <c r="J543" s="1" t="e">
        <f>NA()</f>
        <v>#N/A</v>
      </c>
    </row>
    <row r="544" spans="1:10">
      <c r="A544" s="35"/>
      <c r="B544" s="36"/>
      <c r="C544" s="1">
        <v>5</v>
      </c>
      <c r="D544" s="1">
        <v>102</v>
      </c>
      <c r="E544" s="1" t="e">
        <f>NA()</f>
        <v>#N/A</v>
      </c>
      <c r="F544" s="1" t="e">
        <f>NA()</f>
        <v>#N/A</v>
      </c>
      <c r="G544" s="1" t="e">
        <f>NA()</f>
        <v>#N/A</v>
      </c>
      <c r="H544" s="1" t="e">
        <f>NA()</f>
        <v>#N/A</v>
      </c>
      <c r="I544" s="1" t="e">
        <f>NA()</f>
        <v>#N/A</v>
      </c>
      <c r="J544" s="1" t="e">
        <f>NA()</f>
        <v>#N/A</v>
      </c>
    </row>
    <row r="545" spans="1:10">
      <c r="A545" s="34" t="s">
        <v>100</v>
      </c>
      <c r="B545" s="36">
        <v>45934</v>
      </c>
      <c r="C545" s="1">
        <v>1</v>
      </c>
      <c r="D545" s="1">
        <v>106</v>
      </c>
      <c r="E545" s="1" t="e">
        <f>NA()</f>
        <v>#N/A</v>
      </c>
      <c r="F545" s="1" t="e">
        <f>NA()</f>
        <v>#N/A</v>
      </c>
      <c r="G545" s="1" t="e">
        <f>NA()</f>
        <v>#N/A</v>
      </c>
      <c r="H545" s="1">
        <v>101</v>
      </c>
      <c r="I545" s="1" t="e">
        <f>NA()</f>
        <v>#N/A</v>
      </c>
      <c r="J545" s="1" t="e">
        <f>NA()</f>
        <v>#N/A</v>
      </c>
    </row>
    <row r="546" spans="1:10">
      <c r="A546" s="35"/>
      <c r="B546" s="36"/>
      <c r="C546" s="1">
        <v>2</v>
      </c>
      <c r="D546" s="1">
        <v>196</v>
      </c>
      <c r="E546" s="1" t="e">
        <f>NA()</f>
        <v>#N/A</v>
      </c>
      <c r="F546" s="1" t="e">
        <f>NA()</f>
        <v>#N/A</v>
      </c>
      <c r="G546" s="1" t="e">
        <f>NA()</f>
        <v>#N/A</v>
      </c>
      <c r="H546" s="1">
        <v>99</v>
      </c>
      <c r="I546" s="1" t="e">
        <f>NA()</f>
        <v>#N/A</v>
      </c>
      <c r="J546" s="1" t="e">
        <f>NA()</f>
        <v>#N/A</v>
      </c>
    </row>
    <row r="547" spans="1:10">
      <c r="A547" s="35"/>
      <c r="B547" s="36"/>
      <c r="C547" s="1">
        <v>3</v>
      </c>
      <c r="D547" s="1">
        <v>165</v>
      </c>
      <c r="E547" s="1" t="e">
        <f>NA()</f>
        <v>#N/A</v>
      </c>
      <c r="F547" s="1" t="e">
        <f>NA()</f>
        <v>#N/A</v>
      </c>
      <c r="G547" s="1" t="e">
        <f>NA()</f>
        <v>#N/A</v>
      </c>
      <c r="H547" s="1">
        <v>136</v>
      </c>
      <c r="I547" s="1" t="e">
        <f>NA()</f>
        <v>#N/A</v>
      </c>
      <c r="J547" s="1" t="e">
        <f>NA()</f>
        <v>#N/A</v>
      </c>
    </row>
    <row r="548" spans="1:10">
      <c r="A548" s="35"/>
      <c r="B548" s="36"/>
      <c r="C548" s="1">
        <v>4</v>
      </c>
      <c r="D548" s="1">
        <v>156</v>
      </c>
      <c r="E548" s="1" t="e">
        <f>NA()</f>
        <v>#N/A</v>
      </c>
      <c r="F548" s="1" t="e">
        <f>NA()</f>
        <v>#N/A</v>
      </c>
      <c r="G548" s="1" t="e">
        <f>NA()</f>
        <v>#N/A</v>
      </c>
      <c r="H548" s="1">
        <v>84</v>
      </c>
      <c r="I548" s="1" t="e">
        <f>NA()</f>
        <v>#N/A</v>
      </c>
      <c r="J548" s="1" t="e">
        <f>NA()</f>
        <v>#N/A</v>
      </c>
    </row>
    <row r="549" spans="1:10">
      <c r="A549" s="35"/>
      <c r="B549" s="36"/>
      <c r="C549" s="1">
        <v>5</v>
      </c>
      <c r="D549" s="1">
        <v>181</v>
      </c>
      <c r="E549" s="1" t="e">
        <f>NA()</f>
        <v>#N/A</v>
      </c>
      <c r="F549" s="1" t="e">
        <f>NA()</f>
        <v>#N/A</v>
      </c>
      <c r="G549" s="1" t="e">
        <f>NA()</f>
        <v>#N/A</v>
      </c>
      <c r="H549" s="1">
        <v>90</v>
      </c>
      <c r="I549" s="1" t="e">
        <f>NA()</f>
        <v>#N/A</v>
      </c>
      <c r="J549" s="1" t="e">
        <f>NA()</f>
        <v>#N/A</v>
      </c>
    </row>
    <row r="550" spans="1:10">
      <c r="A550" s="34" t="s">
        <v>101</v>
      </c>
      <c r="B550" s="36">
        <v>45940</v>
      </c>
      <c r="C550" s="1">
        <v>1</v>
      </c>
      <c r="D550" s="1">
        <v>93</v>
      </c>
      <c r="E550" s="1" t="e">
        <f>NA()</f>
        <v>#N/A</v>
      </c>
      <c r="F550" s="1" t="e">
        <f>NA()</f>
        <v>#N/A</v>
      </c>
      <c r="G550" s="1" t="e">
        <f>NA()</f>
        <v>#N/A</v>
      </c>
      <c r="H550" s="1" t="e">
        <f>NA()</f>
        <v>#N/A</v>
      </c>
      <c r="I550" s="1" t="e">
        <f>NA()</f>
        <v>#N/A</v>
      </c>
      <c r="J550" s="1" t="e">
        <f>NA()</f>
        <v>#N/A</v>
      </c>
    </row>
    <row r="551" spans="1:10">
      <c r="A551" s="35"/>
      <c r="B551" s="36"/>
      <c r="C551" s="1">
        <v>2</v>
      </c>
      <c r="D551" s="1">
        <v>131</v>
      </c>
      <c r="E551" s="1" t="e">
        <f>NA()</f>
        <v>#N/A</v>
      </c>
      <c r="F551" s="1" t="e">
        <f>NA()</f>
        <v>#N/A</v>
      </c>
      <c r="G551" s="1" t="e">
        <f>NA()</f>
        <v>#N/A</v>
      </c>
      <c r="H551" s="1" t="e">
        <f>NA()</f>
        <v>#N/A</v>
      </c>
      <c r="I551" s="1" t="e">
        <f>NA()</f>
        <v>#N/A</v>
      </c>
      <c r="J551" s="1" t="e">
        <f>NA()</f>
        <v>#N/A</v>
      </c>
    </row>
    <row r="552" spans="1:10">
      <c r="A552" s="35"/>
      <c r="B552" s="36"/>
      <c r="C552" s="1">
        <v>3</v>
      </c>
      <c r="D552" s="1">
        <v>102</v>
      </c>
      <c r="E552" s="1" t="e">
        <f>NA()</f>
        <v>#N/A</v>
      </c>
      <c r="F552" s="1" t="e">
        <f>NA()</f>
        <v>#N/A</v>
      </c>
      <c r="G552" s="1" t="e">
        <f>NA()</f>
        <v>#N/A</v>
      </c>
      <c r="H552" s="1" t="e">
        <f>NA()</f>
        <v>#N/A</v>
      </c>
      <c r="I552" s="1" t="e">
        <f>NA()</f>
        <v>#N/A</v>
      </c>
      <c r="J552" s="1" t="e">
        <f>NA()</f>
        <v>#N/A</v>
      </c>
    </row>
    <row r="553" spans="1:10">
      <c r="A553" s="35"/>
      <c r="B553" s="36"/>
      <c r="C553" s="1">
        <v>4</v>
      </c>
      <c r="D553" s="1">
        <v>114</v>
      </c>
      <c r="E553" s="1" t="e">
        <f>NA()</f>
        <v>#N/A</v>
      </c>
      <c r="F553" s="1" t="e">
        <f>NA()</f>
        <v>#N/A</v>
      </c>
      <c r="G553" s="1" t="e">
        <f>NA()</f>
        <v>#N/A</v>
      </c>
      <c r="H553" s="1" t="e">
        <f>NA()</f>
        <v>#N/A</v>
      </c>
      <c r="I553" s="1" t="e">
        <f>NA()</f>
        <v>#N/A</v>
      </c>
      <c r="J553" s="1" t="e">
        <f>NA()</f>
        <v>#N/A</v>
      </c>
    </row>
    <row r="554" spans="1:10">
      <c r="A554" s="35"/>
      <c r="B554" s="36"/>
      <c r="C554" s="1">
        <v>5</v>
      </c>
      <c r="D554" s="1">
        <v>112</v>
      </c>
      <c r="E554" s="1" t="e">
        <f>NA()</f>
        <v>#N/A</v>
      </c>
      <c r="F554" s="1" t="e">
        <f>NA()</f>
        <v>#N/A</v>
      </c>
      <c r="G554" s="1" t="e">
        <f>NA()</f>
        <v>#N/A</v>
      </c>
      <c r="H554" s="1" t="e">
        <f>NA()</f>
        <v>#N/A</v>
      </c>
      <c r="I554" s="1" t="e">
        <f>NA()</f>
        <v>#N/A</v>
      </c>
      <c r="J554" s="1" t="e">
        <f>NA()</f>
        <v>#N/A</v>
      </c>
    </row>
    <row r="555" spans="1:10">
      <c r="A555" s="34" t="s">
        <v>102</v>
      </c>
      <c r="B555" s="36">
        <v>45942</v>
      </c>
      <c r="C555" s="1">
        <v>1</v>
      </c>
      <c r="D555" s="1" t="e">
        <f>NA()</f>
        <v>#N/A</v>
      </c>
      <c r="E555" s="1">
        <v>123</v>
      </c>
      <c r="F555" s="1" t="e">
        <f>NA()</f>
        <v>#N/A</v>
      </c>
      <c r="G555" s="1" t="e">
        <f>NA()</f>
        <v>#N/A</v>
      </c>
      <c r="H555" s="1" t="e">
        <f>NA()</f>
        <v>#N/A</v>
      </c>
      <c r="I555" s="1" t="e">
        <f>NA()</f>
        <v>#N/A</v>
      </c>
      <c r="J555" s="1" t="e">
        <f>NA()</f>
        <v>#N/A</v>
      </c>
    </row>
    <row r="556" spans="1:10">
      <c r="A556" s="35"/>
      <c r="B556" s="36"/>
      <c r="C556" s="1">
        <v>2</v>
      </c>
      <c r="D556" s="1" t="e">
        <f>NA()</f>
        <v>#N/A</v>
      </c>
      <c r="E556" s="1">
        <v>124</v>
      </c>
      <c r="F556" s="1" t="e">
        <f>NA()</f>
        <v>#N/A</v>
      </c>
      <c r="G556" s="1" t="e">
        <f>NA()</f>
        <v>#N/A</v>
      </c>
      <c r="H556" s="1" t="e">
        <f>NA()</f>
        <v>#N/A</v>
      </c>
      <c r="I556" s="1" t="e">
        <f>NA()</f>
        <v>#N/A</v>
      </c>
      <c r="J556" s="1" t="e">
        <f>NA()</f>
        <v>#N/A</v>
      </c>
    </row>
    <row r="557" spans="1:10">
      <c r="A557" s="35"/>
      <c r="B557" s="36"/>
      <c r="C557" s="1">
        <v>3</v>
      </c>
      <c r="D557" s="1" t="e">
        <f>NA()</f>
        <v>#N/A</v>
      </c>
      <c r="E557" s="1">
        <v>127</v>
      </c>
      <c r="F557" s="1" t="e">
        <f>NA()</f>
        <v>#N/A</v>
      </c>
      <c r="G557" s="1" t="e">
        <f>NA()</f>
        <v>#N/A</v>
      </c>
      <c r="H557" s="1" t="e">
        <f>NA()</f>
        <v>#N/A</v>
      </c>
      <c r="I557" s="1" t="e">
        <f>NA()</f>
        <v>#N/A</v>
      </c>
      <c r="J557" s="1" t="e">
        <f>NA()</f>
        <v>#N/A</v>
      </c>
    </row>
    <row r="558" spans="1:10">
      <c r="A558" s="35"/>
      <c r="B558" s="36"/>
      <c r="C558" s="1">
        <v>4</v>
      </c>
      <c r="D558" s="1" t="e">
        <f>NA()</f>
        <v>#N/A</v>
      </c>
      <c r="E558" s="1">
        <v>136</v>
      </c>
      <c r="F558" s="1" t="e">
        <f>NA()</f>
        <v>#N/A</v>
      </c>
      <c r="G558" s="1" t="e">
        <f>NA()</f>
        <v>#N/A</v>
      </c>
      <c r="H558" s="1" t="e">
        <f>NA()</f>
        <v>#N/A</v>
      </c>
      <c r="I558" s="1" t="e">
        <f>NA()</f>
        <v>#N/A</v>
      </c>
      <c r="J558" s="1" t="e">
        <f>NA()</f>
        <v>#N/A</v>
      </c>
    </row>
    <row r="559" spans="1:10">
      <c r="A559" s="35"/>
      <c r="B559" s="36"/>
      <c r="C559" s="1">
        <v>5</v>
      </c>
      <c r="D559" s="1" t="e">
        <f>NA()</f>
        <v>#N/A</v>
      </c>
      <c r="E559" s="1">
        <v>145</v>
      </c>
      <c r="F559" s="1" t="e">
        <f>NA()</f>
        <v>#N/A</v>
      </c>
      <c r="G559" s="1" t="e">
        <f>NA()</f>
        <v>#N/A</v>
      </c>
      <c r="H559" s="1" t="e">
        <f>NA()</f>
        <v>#N/A</v>
      </c>
      <c r="I559" s="1" t="e">
        <f>NA()</f>
        <v>#N/A</v>
      </c>
      <c r="J559" s="1" t="e">
        <f>NA()</f>
        <v>#N/A</v>
      </c>
    </row>
    <row r="560" spans="1:10">
      <c r="A560" s="55" t="s">
        <v>103</v>
      </c>
      <c r="B560" s="36">
        <v>45949</v>
      </c>
      <c r="C560" s="1">
        <v>1</v>
      </c>
      <c r="D560" s="1">
        <v>122</v>
      </c>
      <c r="E560" s="1" t="e">
        <f>NA()</f>
        <v>#N/A</v>
      </c>
      <c r="F560" s="1" t="e">
        <f>NA()</f>
        <v>#N/A</v>
      </c>
      <c r="G560" s="1" t="e">
        <f>NA()</f>
        <v>#N/A</v>
      </c>
      <c r="H560" s="1">
        <v>120</v>
      </c>
      <c r="I560" s="1" t="e">
        <f>NA()</f>
        <v>#N/A</v>
      </c>
      <c r="J560" s="1" t="e">
        <f>NA()</f>
        <v>#N/A</v>
      </c>
    </row>
    <row r="561" spans="1:10">
      <c r="A561" s="56"/>
      <c r="B561" s="36"/>
      <c r="C561" s="1">
        <v>2</v>
      </c>
      <c r="D561" s="1">
        <v>146</v>
      </c>
      <c r="E561" s="1" t="e">
        <f>NA()</f>
        <v>#N/A</v>
      </c>
      <c r="F561" s="1" t="e">
        <f>NA()</f>
        <v>#N/A</v>
      </c>
      <c r="G561" s="1" t="e">
        <f>NA()</f>
        <v>#N/A</v>
      </c>
      <c r="H561" s="1">
        <v>116</v>
      </c>
      <c r="I561" s="1" t="e">
        <f>NA()</f>
        <v>#N/A</v>
      </c>
      <c r="J561" s="1" t="e">
        <f>NA()</f>
        <v>#N/A</v>
      </c>
    </row>
    <row r="562" spans="1:10">
      <c r="A562" s="56"/>
      <c r="B562" s="36"/>
      <c r="C562" s="1">
        <v>3</v>
      </c>
      <c r="D562" s="1">
        <v>122</v>
      </c>
      <c r="E562" s="1" t="e">
        <f>NA()</f>
        <v>#N/A</v>
      </c>
      <c r="F562" s="1" t="e">
        <f>NA()</f>
        <v>#N/A</v>
      </c>
      <c r="G562" s="1" t="e">
        <f>NA()</f>
        <v>#N/A</v>
      </c>
      <c r="H562" s="1">
        <v>98</v>
      </c>
      <c r="I562" s="1" t="e">
        <f>NA()</f>
        <v>#N/A</v>
      </c>
      <c r="J562" s="1" t="e">
        <f>NA()</f>
        <v>#N/A</v>
      </c>
    </row>
    <row r="563" spans="1:10">
      <c r="A563" s="56"/>
      <c r="B563" s="36"/>
      <c r="C563" s="1">
        <v>4</v>
      </c>
      <c r="D563" s="1">
        <v>149</v>
      </c>
      <c r="E563" s="1" t="e">
        <f>NA()</f>
        <v>#N/A</v>
      </c>
      <c r="F563" s="1" t="e">
        <f>NA()</f>
        <v>#N/A</v>
      </c>
      <c r="G563" s="1" t="e">
        <f>NA()</f>
        <v>#N/A</v>
      </c>
      <c r="H563" s="1">
        <v>113</v>
      </c>
      <c r="I563" s="1" t="e">
        <f>NA()</f>
        <v>#N/A</v>
      </c>
      <c r="J563" s="1" t="e">
        <f>NA()</f>
        <v>#N/A</v>
      </c>
    </row>
    <row r="564" spans="1:10">
      <c r="A564" s="56"/>
      <c r="B564" s="36"/>
      <c r="C564" s="1">
        <v>5</v>
      </c>
      <c r="D564" s="1">
        <v>166</v>
      </c>
      <c r="E564" s="1" t="e">
        <f>NA()</f>
        <v>#N/A</v>
      </c>
      <c r="F564" s="1" t="e">
        <f>NA()</f>
        <v>#N/A</v>
      </c>
      <c r="G564" s="1" t="e">
        <f>NA()</f>
        <v>#N/A</v>
      </c>
      <c r="H564" s="1">
        <v>102</v>
      </c>
      <c r="I564" s="1" t="e">
        <f>NA()</f>
        <v>#N/A</v>
      </c>
      <c r="J564" s="1" t="e">
        <f>NA()</f>
        <v>#N/A</v>
      </c>
    </row>
    <row r="565" spans="1:10">
      <c r="A565" s="34" t="s">
        <v>104</v>
      </c>
      <c r="B565" s="36">
        <v>45983</v>
      </c>
      <c r="C565" s="1">
        <v>1</v>
      </c>
      <c r="D565" s="1">
        <v>137</v>
      </c>
      <c r="E565" s="1">
        <v>158</v>
      </c>
      <c r="F565" s="1" t="e">
        <f>NA()</f>
        <v>#N/A</v>
      </c>
      <c r="G565" s="1" t="e">
        <f>NA()</f>
        <v>#N/A</v>
      </c>
      <c r="H565" s="1">
        <v>98</v>
      </c>
      <c r="I565" s="1">
        <v>95</v>
      </c>
      <c r="J565" s="1" t="e">
        <f>NA()</f>
        <v>#N/A</v>
      </c>
    </row>
    <row r="566" spans="1:10">
      <c r="A566" s="35"/>
      <c r="B566" s="36"/>
      <c r="C566" s="1">
        <v>2</v>
      </c>
      <c r="D566" s="1">
        <v>101</v>
      </c>
      <c r="E566" s="1">
        <v>168</v>
      </c>
      <c r="F566" s="1" t="e">
        <f>NA()</f>
        <v>#N/A</v>
      </c>
      <c r="G566" s="1" t="e">
        <f>NA()</f>
        <v>#N/A</v>
      </c>
      <c r="H566" s="1">
        <v>105</v>
      </c>
      <c r="I566" s="1">
        <v>98</v>
      </c>
      <c r="J566" s="1" t="e">
        <f>NA()</f>
        <v>#N/A</v>
      </c>
    </row>
    <row r="567" spans="1:10">
      <c r="A567" s="35"/>
      <c r="B567" s="36"/>
      <c r="C567" s="1">
        <v>3</v>
      </c>
      <c r="D567" s="1">
        <v>117</v>
      </c>
      <c r="E567" s="1">
        <v>189</v>
      </c>
      <c r="F567" s="1" t="e">
        <f>NA()</f>
        <v>#N/A</v>
      </c>
      <c r="G567" s="1" t="e">
        <f>NA()</f>
        <v>#N/A</v>
      </c>
      <c r="H567" s="1">
        <v>108</v>
      </c>
      <c r="I567" s="1">
        <v>109</v>
      </c>
      <c r="J567" s="1" t="e">
        <f>NA()</f>
        <v>#N/A</v>
      </c>
    </row>
    <row r="568" spans="1:10">
      <c r="A568" s="35"/>
      <c r="B568" s="36"/>
      <c r="C568" s="1">
        <v>4</v>
      </c>
      <c r="D568" s="1">
        <v>123</v>
      </c>
      <c r="E568" s="1">
        <v>125</v>
      </c>
      <c r="F568" s="1" t="e">
        <f>NA()</f>
        <v>#N/A</v>
      </c>
      <c r="G568" s="1" t="e">
        <f>NA()</f>
        <v>#N/A</v>
      </c>
      <c r="H568" s="1">
        <v>122</v>
      </c>
      <c r="I568" s="1">
        <v>121</v>
      </c>
      <c r="J568" s="1" t="e">
        <f>NA()</f>
        <v>#N/A</v>
      </c>
    </row>
    <row r="569" spans="1:10">
      <c r="A569" s="35"/>
      <c r="B569" s="36"/>
      <c r="C569" s="1">
        <v>5</v>
      </c>
      <c r="D569" s="1">
        <v>147</v>
      </c>
      <c r="E569" s="1">
        <v>146</v>
      </c>
      <c r="F569" s="1" t="e">
        <f>NA()</f>
        <v>#N/A</v>
      </c>
      <c r="G569" s="1" t="e">
        <f>NA()</f>
        <v>#N/A</v>
      </c>
      <c r="H569" s="1">
        <v>168</v>
      </c>
      <c r="I569" s="1">
        <v>107</v>
      </c>
      <c r="J569" s="1" t="e">
        <f>NA()</f>
        <v>#N/A</v>
      </c>
    </row>
    <row r="570" spans="1:10">
      <c r="A570" s="34" t="s">
        <v>105</v>
      </c>
      <c r="B570" s="36">
        <v>45990</v>
      </c>
      <c r="C570" s="1">
        <v>1</v>
      </c>
      <c r="D570" s="1">
        <v>149</v>
      </c>
      <c r="E570" s="1" t="e">
        <f>NA()</f>
        <v>#N/A</v>
      </c>
      <c r="F570" s="1" t="e">
        <f>NA()</f>
        <v>#N/A</v>
      </c>
      <c r="G570" s="1" t="e">
        <f>NA()</f>
        <v>#N/A</v>
      </c>
      <c r="H570" s="1">
        <v>119</v>
      </c>
      <c r="I570" s="1" t="e">
        <f>NA()</f>
        <v>#N/A</v>
      </c>
      <c r="J570" s="1" t="e">
        <f>NA()</f>
        <v>#N/A</v>
      </c>
    </row>
    <row r="571" spans="1:10">
      <c r="A571" s="35"/>
      <c r="B571" s="36"/>
      <c r="C571" s="1">
        <v>2</v>
      </c>
      <c r="D571" s="1">
        <v>137</v>
      </c>
      <c r="E571" s="1" t="e">
        <f>NA()</f>
        <v>#N/A</v>
      </c>
      <c r="F571" s="1" t="e">
        <f>NA()</f>
        <v>#N/A</v>
      </c>
      <c r="G571" s="1" t="e">
        <f>NA()</f>
        <v>#N/A</v>
      </c>
      <c r="H571" s="1">
        <v>124</v>
      </c>
      <c r="I571" s="1" t="e">
        <f>NA()</f>
        <v>#N/A</v>
      </c>
      <c r="J571" s="1" t="e">
        <f>NA()</f>
        <v>#N/A</v>
      </c>
    </row>
    <row r="572" spans="1:10">
      <c r="A572" s="35"/>
      <c r="B572" s="36"/>
      <c r="C572" s="1">
        <v>3</v>
      </c>
      <c r="D572" s="1">
        <v>181</v>
      </c>
      <c r="E572" s="1" t="e">
        <f>NA()</f>
        <v>#N/A</v>
      </c>
      <c r="F572" s="1" t="e">
        <f>NA()</f>
        <v>#N/A</v>
      </c>
      <c r="G572" s="1" t="e">
        <f>NA()</f>
        <v>#N/A</v>
      </c>
      <c r="H572" s="1">
        <v>113</v>
      </c>
      <c r="I572" s="1" t="e">
        <f>NA()</f>
        <v>#N/A</v>
      </c>
      <c r="J572" s="1" t="e">
        <f>NA()</f>
        <v>#N/A</v>
      </c>
    </row>
    <row r="573" spans="1:10">
      <c r="A573" s="35"/>
      <c r="B573" s="36"/>
      <c r="C573" s="1">
        <v>4</v>
      </c>
      <c r="D573" s="1">
        <v>112</v>
      </c>
      <c r="E573" s="1" t="e">
        <f>NA()</f>
        <v>#N/A</v>
      </c>
      <c r="F573" s="1" t="e">
        <f>NA()</f>
        <v>#N/A</v>
      </c>
      <c r="G573" s="1" t="e">
        <f>NA()</f>
        <v>#N/A</v>
      </c>
      <c r="H573" s="1">
        <v>101</v>
      </c>
      <c r="I573" s="1" t="e">
        <f>NA()</f>
        <v>#N/A</v>
      </c>
      <c r="J573" s="1" t="e">
        <f>NA()</f>
        <v>#N/A</v>
      </c>
    </row>
    <row r="574" spans="1:10">
      <c r="A574" s="35"/>
      <c r="B574" s="36"/>
      <c r="C574" s="1">
        <v>5</v>
      </c>
      <c r="D574" s="1">
        <v>148</v>
      </c>
      <c r="E574" s="1" t="e">
        <f>NA()</f>
        <v>#N/A</v>
      </c>
      <c r="F574" s="1" t="e">
        <f>NA()</f>
        <v>#N/A</v>
      </c>
      <c r="G574" s="1" t="e">
        <f>NA()</f>
        <v>#N/A</v>
      </c>
      <c r="H574" s="1">
        <v>81</v>
      </c>
      <c r="I574" s="1" t="e">
        <f>NA()</f>
        <v>#N/A</v>
      </c>
      <c r="J574" s="1" t="e">
        <f>NA()</f>
        <v>#N/A</v>
      </c>
    </row>
    <row r="575" spans="1:10">
      <c r="A575" s="34" t="s">
        <v>106</v>
      </c>
      <c r="B575" s="36">
        <v>46017</v>
      </c>
      <c r="C575" s="1">
        <v>1</v>
      </c>
      <c r="D575" s="1">
        <v>159</v>
      </c>
      <c r="E575" s="1">
        <v>134</v>
      </c>
      <c r="F575" s="1" t="e">
        <f>NA()</f>
        <v>#N/A</v>
      </c>
      <c r="G575" s="1" t="e">
        <f>NA()</f>
        <v>#N/A</v>
      </c>
      <c r="H575" s="1">
        <v>124</v>
      </c>
      <c r="I575" s="1">
        <v>71</v>
      </c>
      <c r="J575" s="1" t="e">
        <f>NA()</f>
        <v>#N/A</v>
      </c>
    </row>
    <row r="576" spans="1:10">
      <c r="A576" s="35"/>
      <c r="B576" s="36"/>
      <c r="C576" s="1">
        <v>2</v>
      </c>
      <c r="D576" s="1">
        <v>129</v>
      </c>
      <c r="E576" s="1">
        <v>145</v>
      </c>
      <c r="F576" s="1" t="e">
        <f>NA()</f>
        <v>#N/A</v>
      </c>
      <c r="G576" s="1" t="e">
        <f>NA()</f>
        <v>#N/A</v>
      </c>
      <c r="H576" s="1">
        <v>96</v>
      </c>
      <c r="I576" s="1">
        <v>109</v>
      </c>
      <c r="J576" s="1" t="e">
        <f>NA()</f>
        <v>#N/A</v>
      </c>
    </row>
    <row r="577" spans="1:10">
      <c r="A577" s="35"/>
      <c r="B577" s="36"/>
      <c r="C577" s="1">
        <v>3</v>
      </c>
      <c r="D577" s="1">
        <v>85</v>
      </c>
      <c r="E577" s="1">
        <v>172</v>
      </c>
      <c r="F577" s="1" t="e">
        <f>NA()</f>
        <v>#N/A</v>
      </c>
      <c r="G577" s="1" t="e">
        <f>NA()</f>
        <v>#N/A</v>
      </c>
      <c r="H577" s="1">
        <v>102</v>
      </c>
      <c r="I577" s="1">
        <v>92</v>
      </c>
      <c r="J577" s="1" t="e">
        <f>NA()</f>
        <v>#N/A</v>
      </c>
    </row>
    <row r="578" spans="1:10">
      <c r="A578" s="35"/>
      <c r="B578" s="36"/>
      <c r="C578" s="1">
        <v>4</v>
      </c>
      <c r="D578" s="1">
        <v>167</v>
      </c>
      <c r="E578" s="1">
        <v>160</v>
      </c>
      <c r="F578" s="1" t="e">
        <f>NA()</f>
        <v>#N/A</v>
      </c>
      <c r="G578" s="1" t="e">
        <f>NA()</f>
        <v>#N/A</v>
      </c>
      <c r="H578" s="1">
        <v>132</v>
      </c>
      <c r="I578" s="1">
        <v>104</v>
      </c>
      <c r="J578" s="1" t="e">
        <f>NA()</f>
        <v>#N/A</v>
      </c>
    </row>
    <row r="579" spans="1:10">
      <c r="A579" s="35"/>
      <c r="B579" s="36"/>
      <c r="C579" s="1">
        <v>5</v>
      </c>
      <c r="D579" s="1">
        <v>168</v>
      </c>
      <c r="E579" s="1">
        <v>131</v>
      </c>
      <c r="F579" s="1" t="e">
        <f>NA()</f>
        <v>#N/A</v>
      </c>
      <c r="G579" s="1" t="e">
        <f>NA()</f>
        <v>#N/A</v>
      </c>
      <c r="H579" s="1">
        <v>147</v>
      </c>
      <c r="I579" s="1">
        <v>78</v>
      </c>
      <c r="J579" s="1" t="e">
        <f>NA()</f>
        <v>#N/A</v>
      </c>
    </row>
    <row r="580" spans="1:10">
      <c r="A580" s="34" t="s">
        <v>107</v>
      </c>
      <c r="B580" s="36">
        <v>46024</v>
      </c>
      <c r="C580" s="1">
        <v>1</v>
      </c>
      <c r="D580" s="1">
        <v>145</v>
      </c>
      <c r="E580" s="1">
        <v>134</v>
      </c>
      <c r="F580" s="1" t="e">
        <f>NA()</f>
        <v>#N/A</v>
      </c>
      <c r="G580" s="1" t="e">
        <f>NA()</f>
        <v>#N/A</v>
      </c>
      <c r="H580" s="1">
        <v>130</v>
      </c>
      <c r="I580" s="1">
        <v>44</v>
      </c>
      <c r="J580" s="1" t="e">
        <f>NA()</f>
        <v>#N/A</v>
      </c>
    </row>
    <row r="581" spans="1:10">
      <c r="A581" s="35"/>
      <c r="B581" s="36"/>
      <c r="C581" s="1">
        <v>2</v>
      </c>
      <c r="D581" s="1">
        <v>116</v>
      </c>
      <c r="E581" s="1">
        <v>129</v>
      </c>
      <c r="F581" s="1" t="e">
        <f>NA()</f>
        <v>#N/A</v>
      </c>
      <c r="G581" s="1" t="e">
        <f>NA()</f>
        <v>#N/A</v>
      </c>
      <c r="H581" s="1">
        <v>81</v>
      </c>
      <c r="I581" s="1">
        <v>75</v>
      </c>
      <c r="J581" s="1" t="e">
        <f>NA()</f>
        <v>#N/A</v>
      </c>
    </row>
    <row r="582" spans="1:10">
      <c r="A582" s="35"/>
      <c r="B582" s="36"/>
      <c r="C582" s="1">
        <v>3</v>
      </c>
      <c r="D582" s="1">
        <v>116</v>
      </c>
      <c r="E582" s="1">
        <v>125</v>
      </c>
      <c r="F582" s="1" t="e">
        <f>NA()</f>
        <v>#N/A</v>
      </c>
      <c r="G582" s="1" t="e">
        <f>NA()</f>
        <v>#N/A</v>
      </c>
      <c r="H582" s="1">
        <v>88</v>
      </c>
      <c r="I582" s="1">
        <v>85</v>
      </c>
      <c r="J582" s="1" t="e">
        <f>NA()</f>
        <v>#N/A</v>
      </c>
    </row>
    <row r="583" spans="1:10">
      <c r="A583" s="35"/>
      <c r="B583" s="36"/>
      <c r="C583" s="1">
        <v>4</v>
      </c>
      <c r="D583" s="1">
        <v>133</v>
      </c>
      <c r="E583" s="1">
        <v>116</v>
      </c>
      <c r="F583" s="1" t="e">
        <f>NA()</f>
        <v>#N/A</v>
      </c>
      <c r="G583" s="1" t="e">
        <f>NA()</f>
        <v>#N/A</v>
      </c>
      <c r="H583" s="1">
        <v>114</v>
      </c>
      <c r="I583" s="1">
        <v>99</v>
      </c>
      <c r="J583" s="1" t="e">
        <f>NA()</f>
        <v>#N/A</v>
      </c>
    </row>
    <row r="584" spans="1:10">
      <c r="A584" s="35"/>
      <c r="B584" s="36"/>
      <c r="C584" s="1">
        <v>5</v>
      </c>
      <c r="D584" s="1">
        <v>154</v>
      </c>
      <c r="E584" s="1">
        <v>133</v>
      </c>
      <c r="F584" s="1" t="e">
        <f>NA()</f>
        <v>#N/A</v>
      </c>
      <c r="G584" s="1" t="e">
        <f>NA()</f>
        <v>#N/A</v>
      </c>
      <c r="H584" s="1">
        <v>90</v>
      </c>
      <c r="I584" s="1">
        <v>87</v>
      </c>
      <c r="J584" s="1" t="e">
        <f>NA()</f>
        <v>#N/A</v>
      </c>
    </row>
    <row r="585" spans="1:10">
      <c r="A585" s="34" t="s">
        <v>108</v>
      </c>
      <c r="B585" s="36">
        <v>46031</v>
      </c>
      <c r="C585" s="1">
        <v>1</v>
      </c>
      <c r="D585" s="1">
        <v>137</v>
      </c>
      <c r="E585" s="1">
        <v>114</v>
      </c>
      <c r="F585" s="1" t="e">
        <f>NA()</f>
        <v>#N/A</v>
      </c>
      <c r="G585" s="1" t="e">
        <f>NA()</f>
        <v>#N/A</v>
      </c>
      <c r="H585" s="1">
        <v>105</v>
      </c>
      <c r="I585" s="1">
        <v>112</v>
      </c>
      <c r="J585" s="1" t="e">
        <f>NA()</f>
        <v>#N/A</v>
      </c>
    </row>
    <row r="586" spans="1:10">
      <c r="A586" s="35"/>
      <c r="B586" s="36"/>
      <c r="C586" s="1">
        <v>2</v>
      </c>
      <c r="D586" s="1">
        <v>145</v>
      </c>
      <c r="E586" s="1">
        <v>118</v>
      </c>
      <c r="F586" s="1" t="e">
        <f>NA()</f>
        <v>#N/A</v>
      </c>
      <c r="G586" s="1" t="e">
        <f>NA()</f>
        <v>#N/A</v>
      </c>
      <c r="H586" s="1">
        <v>82</v>
      </c>
      <c r="I586" s="1">
        <v>114</v>
      </c>
      <c r="J586" s="1" t="e">
        <f>NA()</f>
        <v>#N/A</v>
      </c>
    </row>
    <row r="587" spans="1:10">
      <c r="A587" s="35"/>
      <c r="B587" s="36"/>
      <c r="C587" s="1">
        <v>3</v>
      </c>
      <c r="D587" s="1">
        <v>165</v>
      </c>
      <c r="E587" s="1">
        <v>116</v>
      </c>
      <c r="F587" s="1" t="e">
        <f>NA()</f>
        <v>#N/A</v>
      </c>
      <c r="G587" s="1" t="e">
        <f>NA()</f>
        <v>#N/A</v>
      </c>
      <c r="H587" s="1">
        <v>87</v>
      </c>
      <c r="I587" s="1">
        <v>99</v>
      </c>
      <c r="J587" s="1" t="e">
        <f>NA()</f>
        <v>#N/A</v>
      </c>
    </row>
    <row r="588" spans="1:10">
      <c r="A588" s="35"/>
      <c r="B588" s="36"/>
      <c r="C588" s="1">
        <v>4</v>
      </c>
      <c r="D588" s="1">
        <v>105</v>
      </c>
      <c r="E588" s="1">
        <v>134</v>
      </c>
      <c r="F588" s="1" t="e">
        <f>NA()</f>
        <v>#N/A</v>
      </c>
      <c r="G588" s="1" t="e">
        <f>NA()</f>
        <v>#N/A</v>
      </c>
      <c r="H588" s="1">
        <v>137</v>
      </c>
      <c r="I588" s="1">
        <v>89</v>
      </c>
      <c r="J588" s="1" t="e">
        <f>NA()</f>
        <v>#N/A</v>
      </c>
    </row>
    <row r="589" spans="1:10">
      <c r="A589" s="35"/>
      <c r="B589" s="36"/>
      <c r="C589" s="1">
        <v>5</v>
      </c>
      <c r="D589" s="1">
        <v>152</v>
      </c>
      <c r="E589" s="1">
        <v>138</v>
      </c>
      <c r="F589" s="1" t="e">
        <f>NA()</f>
        <v>#N/A</v>
      </c>
      <c r="G589" s="1" t="e">
        <f>NA()</f>
        <v>#N/A</v>
      </c>
      <c r="H589" s="1">
        <v>94</v>
      </c>
      <c r="I589" s="1">
        <v>89</v>
      </c>
      <c r="J589" s="1" t="e">
        <f>NA()</f>
        <v>#N/A</v>
      </c>
    </row>
    <row r="590" spans="1:10">
      <c r="A590" s="34" t="s">
        <v>109</v>
      </c>
      <c r="B590" s="36">
        <v>46059</v>
      </c>
      <c r="C590" s="1">
        <v>1</v>
      </c>
      <c r="D590" s="1">
        <v>103</v>
      </c>
      <c r="E590" s="1">
        <v>133</v>
      </c>
      <c r="F590" s="1" t="e">
        <f>NA()</f>
        <v>#N/A</v>
      </c>
      <c r="G590" s="1" t="e">
        <f>NA()</f>
        <v>#N/A</v>
      </c>
      <c r="H590" s="1">
        <v>96</v>
      </c>
      <c r="I590" s="1" t="e">
        <f>NA()</f>
        <v>#N/A</v>
      </c>
      <c r="J590" s="1" t="e">
        <f>NA()</f>
        <v>#N/A</v>
      </c>
    </row>
    <row r="591" spans="1:10">
      <c r="A591" s="35"/>
      <c r="B591" s="36"/>
      <c r="C591" s="1">
        <v>2</v>
      </c>
      <c r="D591" s="1">
        <v>129</v>
      </c>
      <c r="E591" s="1">
        <v>155</v>
      </c>
      <c r="F591" s="1" t="e">
        <f>NA()</f>
        <v>#N/A</v>
      </c>
      <c r="G591" s="1" t="e">
        <f>NA()</f>
        <v>#N/A</v>
      </c>
      <c r="H591" s="1">
        <v>88</v>
      </c>
      <c r="I591" s="1" t="e">
        <f>NA()</f>
        <v>#N/A</v>
      </c>
      <c r="J591" s="1" t="e">
        <f>NA()</f>
        <v>#N/A</v>
      </c>
    </row>
    <row r="592" spans="1:10">
      <c r="A592" s="35"/>
      <c r="B592" s="36"/>
      <c r="C592" s="1">
        <v>3</v>
      </c>
      <c r="D592" s="1">
        <v>154</v>
      </c>
      <c r="E592" s="1">
        <v>122</v>
      </c>
      <c r="F592" s="1" t="e">
        <f>NA()</f>
        <v>#N/A</v>
      </c>
      <c r="G592" s="1" t="e">
        <f>NA()</f>
        <v>#N/A</v>
      </c>
      <c r="H592" s="1">
        <v>79</v>
      </c>
      <c r="I592" s="1" t="e">
        <f>NA()</f>
        <v>#N/A</v>
      </c>
      <c r="J592" s="1" t="e">
        <f>NA()</f>
        <v>#N/A</v>
      </c>
    </row>
    <row r="593" spans="1:10">
      <c r="A593" s="35"/>
      <c r="B593" s="36"/>
      <c r="C593" s="1">
        <v>4</v>
      </c>
      <c r="D593" s="1">
        <v>138</v>
      </c>
      <c r="E593" s="1">
        <v>161</v>
      </c>
      <c r="F593" s="1" t="e">
        <f>NA()</f>
        <v>#N/A</v>
      </c>
      <c r="G593" s="1" t="e">
        <f>NA()</f>
        <v>#N/A</v>
      </c>
      <c r="H593" s="1">
        <v>90</v>
      </c>
      <c r="I593" s="1" t="e">
        <f>NA()</f>
        <v>#N/A</v>
      </c>
      <c r="J593" s="1" t="e">
        <f>NA()</f>
        <v>#N/A</v>
      </c>
    </row>
    <row r="594" spans="1:10">
      <c r="A594" s="35"/>
      <c r="B594" s="36"/>
      <c r="C594" s="1">
        <v>5</v>
      </c>
      <c r="D594" s="1">
        <v>126</v>
      </c>
      <c r="E594" s="1">
        <v>129</v>
      </c>
      <c r="F594" s="1" t="e">
        <f>NA()</f>
        <v>#N/A</v>
      </c>
      <c r="G594" s="1" t="e">
        <f>NA()</f>
        <v>#N/A</v>
      </c>
      <c r="H594" s="1">
        <v>114</v>
      </c>
      <c r="I594" s="1" t="e">
        <f>NA()</f>
        <v>#N/A</v>
      </c>
      <c r="J594" s="1" t="e">
        <f>NA()</f>
        <v>#N/A</v>
      </c>
    </row>
    <row r="595" spans="1:10">
      <c r="A595" s="34" t="s">
        <v>110</v>
      </c>
      <c r="B595" s="36">
        <v>46071</v>
      </c>
      <c r="C595" s="1">
        <v>1</v>
      </c>
      <c r="D595" s="1">
        <v>136</v>
      </c>
      <c r="E595" s="1" t="e">
        <f>NA()</f>
        <v>#N/A</v>
      </c>
      <c r="F595" s="1" t="e">
        <f>NA()</f>
        <v>#N/A</v>
      </c>
      <c r="G595" s="1" t="e">
        <f>NA()</f>
        <v>#N/A</v>
      </c>
      <c r="H595" s="1">
        <v>87</v>
      </c>
      <c r="I595" s="1" t="e">
        <f>NA()</f>
        <v>#N/A</v>
      </c>
      <c r="J595" s="1" t="e">
        <f>NA()</f>
        <v>#N/A</v>
      </c>
    </row>
    <row r="596" spans="1:10">
      <c r="A596" s="35"/>
      <c r="B596" s="36"/>
      <c r="C596" s="1">
        <v>2</v>
      </c>
      <c r="D596" s="1">
        <v>120</v>
      </c>
      <c r="E596" s="1" t="e">
        <f>NA()</f>
        <v>#N/A</v>
      </c>
      <c r="F596" s="1" t="e">
        <f>NA()</f>
        <v>#N/A</v>
      </c>
      <c r="G596" s="1" t="e">
        <f>NA()</f>
        <v>#N/A</v>
      </c>
      <c r="H596" s="1">
        <v>76</v>
      </c>
      <c r="I596" s="1" t="e">
        <f>NA()</f>
        <v>#N/A</v>
      </c>
      <c r="J596" s="1" t="e">
        <f>NA()</f>
        <v>#N/A</v>
      </c>
    </row>
    <row r="597" spans="1:10">
      <c r="A597" s="35"/>
      <c r="B597" s="36"/>
      <c r="C597" s="1">
        <v>3</v>
      </c>
      <c r="D597" s="1">
        <v>131</v>
      </c>
      <c r="E597" s="1" t="e">
        <f>NA()</f>
        <v>#N/A</v>
      </c>
      <c r="F597" s="1" t="e">
        <f>NA()</f>
        <v>#N/A</v>
      </c>
      <c r="G597" s="1" t="e">
        <f>NA()</f>
        <v>#N/A</v>
      </c>
      <c r="H597" s="1">
        <v>113</v>
      </c>
      <c r="I597" s="1" t="e">
        <f>NA()</f>
        <v>#N/A</v>
      </c>
      <c r="J597" s="1" t="e">
        <f>NA()</f>
        <v>#N/A</v>
      </c>
    </row>
    <row r="598" spans="1:10">
      <c r="A598" s="35"/>
      <c r="B598" s="36"/>
      <c r="C598" s="1">
        <v>4</v>
      </c>
      <c r="D598" s="1">
        <v>163</v>
      </c>
      <c r="E598" s="1" t="e">
        <f>NA()</f>
        <v>#N/A</v>
      </c>
      <c r="F598" s="1" t="e">
        <f>NA()</f>
        <v>#N/A</v>
      </c>
      <c r="G598" s="1" t="e">
        <f>NA()</f>
        <v>#N/A</v>
      </c>
      <c r="H598" s="1">
        <v>128</v>
      </c>
      <c r="I598" s="1" t="e">
        <f>NA()</f>
        <v>#N/A</v>
      </c>
      <c r="J598" s="1" t="e">
        <f>NA()</f>
        <v>#N/A</v>
      </c>
    </row>
    <row r="599" spans="1:10">
      <c r="A599" s="35"/>
      <c r="B599" s="36"/>
      <c r="C599" s="1">
        <v>5</v>
      </c>
      <c r="D599" s="1">
        <v>123</v>
      </c>
      <c r="E599" s="1" t="e">
        <f>NA()</f>
        <v>#N/A</v>
      </c>
      <c r="F599" s="1" t="e">
        <f>NA()</f>
        <v>#N/A</v>
      </c>
      <c r="G599" s="1" t="e">
        <f>NA()</f>
        <v>#N/A</v>
      </c>
      <c r="H599" s="1">
        <v>100</v>
      </c>
      <c r="I599" s="1" t="e">
        <f>NA()</f>
        <v>#N/A</v>
      </c>
      <c r="J599" s="1" t="e">
        <f>NA()</f>
        <v>#N/A</v>
      </c>
    </row>
    <row r="600" spans="1:10">
      <c r="A600" s="34" t="s">
        <v>111</v>
      </c>
      <c r="B600" s="36">
        <v>46072</v>
      </c>
      <c r="C600" s="1">
        <v>1</v>
      </c>
      <c r="D600" s="1">
        <v>119</v>
      </c>
      <c r="E600" s="1">
        <v>137</v>
      </c>
      <c r="F600" s="1" t="e">
        <f>NA()</f>
        <v>#N/A</v>
      </c>
      <c r="G600" s="1" t="e">
        <f>NA()</f>
        <v>#N/A</v>
      </c>
      <c r="H600" s="1">
        <v>137</v>
      </c>
      <c r="I600" s="1" t="e">
        <f>NA()</f>
        <v>#N/A</v>
      </c>
      <c r="J600" s="1" t="e">
        <f>NA()</f>
        <v>#N/A</v>
      </c>
    </row>
    <row r="601" spans="1:10">
      <c r="A601" s="35"/>
      <c r="B601" s="36"/>
      <c r="C601" s="1">
        <v>2</v>
      </c>
      <c r="D601" s="1">
        <v>112</v>
      </c>
      <c r="E601" s="1">
        <v>125</v>
      </c>
      <c r="F601" s="1" t="e">
        <f>NA()</f>
        <v>#N/A</v>
      </c>
      <c r="G601" s="1" t="e">
        <f>NA()</f>
        <v>#N/A</v>
      </c>
      <c r="H601" s="1">
        <v>103</v>
      </c>
      <c r="I601" s="1" t="e">
        <f>NA()</f>
        <v>#N/A</v>
      </c>
      <c r="J601" s="1" t="e">
        <f>NA()</f>
        <v>#N/A</v>
      </c>
    </row>
    <row r="602" spans="1:10">
      <c r="A602" s="35"/>
      <c r="B602" s="36"/>
      <c r="C602" s="1">
        <v>3</v>
      </c>
      <c r="D602" s="1">
        <v>85</v>
      </c>
      <c r="E602" s="1">
        <v>126</v>
      </c>
      <c r="F602" s="1" t="e">
        <f>NA()</f>
        <v>#N/A</v>
      </c>
      <c r="G602" s="1" t="e">
        <f>NA()</f>
        <v>#N/A</v>
      </c>
      <c r="H602" s="1">
        <v>152</v>
      </c>
      <c r="I602" s="1" t="e">
        <f>NA()</f>
        <v>#N/A</v>
      </c>
      <c r="J602" s="1" t="e">
        <f>NA()</f>
        <v>#N/A</v>
      </c>
    </row>
    <row r="603" spans="1:10">
      <c r="A603" s="35"/>
      <c r="B603" s="36"/>
      <c r="C603" s="1">
        <v>4</v>
      </c>
      <c r="D603" s="1">
        <v>112</v>
      </c>
      <c r="E603" s="1">
        <v>136</v>
      </c>
      <c r="F603" s="1" t="e">
        <f>NA()</f>
        <v>#N/A</v>
      </c>
      <c r="G603" s="1" t="e">
        <f>NA()</f>
        <v>#N/A</v>
      </c>
      <c r="H603" s="1">
        <v>143</v>
      </c>
      <c r="I603" s="1" t="e">
        <f>NA()</f>
        <v>#N/A</v>
      </c>
      <c r="J603" s="1" t="e">
        <f>NA()</f>
        <v>#N/A</v>
      </c>
    </row>
    <row r="604" spans="1:10">
      <c r="A604" s="35"/>
      <c r="B604" s="36"/>
      <c r="C604" s="1">
        <v>5</v>
      </c>
      <c r="D604" s="1">
        <v>109</v>
      </c>
      <c r="E604" s="1">
        <v>143</v>
      </c>
      <c r="F604" s="1" t="e">
        <f>NA()</f>
        <v>#N/A</v>
      </c>
      <c r="G604" s="1" t="e">
        <f>NA()</f>
        <v>#N/A</v>
      </c>
      <c r="H604" s="1">
        <v>115</v>
      </c>
      <c r="I604" s="1" t="e">
        <f>NA()</f>
        <v>#N/A</v>
      </c>
      <c r="J604" s="1" t="e">
        <f>NA()</f>
        <v>#N/A</v>
      </c>
    </row>
    <row r="605" spans="1:10">
      <c r="A605" s="34" t="s">
        <v>112</v>
      </c>
      <c r="B605" s="36">
        <v>46103</v>
      </c>
      <c r="C605" s="1">
        <v>1</v>
      </c>
      <c r="D605" s="1">
        <v>132</v>
      </c>
      <c r="E605" s="1" t="e">
        <f>NA()</f>
        <v>#N/A</v>
      </c>
      <c r="F605" s="1" t="e">
        <f>NA()</f>
        <v>#N/A</v>
      </c>
      <c r="G605" s="1" t="e">
        <f>NA()</f>
        <v>#N/A</v>
      </c>
      <c r="H605" s="1">
        <v>98</v>
      </c>
      <c r="I605" s="1">
        <v>117</v>
      </c>
      <c r="J605" s="1" t="e">
        <f>NA()</f>
        <v>#N/A</v>
      </c>
    </row>
    <row r="606" spans="1:10">
      <c r="A606" s="35"/>
      <c r="B606" s="36"/>
      <c r="C606" s="1">
        <v>2</v>
      </c>
      <c r="D606" s="1">
        <v>143</v>
      </c>
      <c r="E606" s="1" t="e">
        <f>NA()</f>
        <v>#N/A</v>
      </c>
      <c r="F606" s="1" t="e">
        <f>NA()</f>
        <v>#N/A</v>
      </c>
      <c r="G606" s="1" t="e">
        <f>NA()</f>
        <v>#N/A</v>
      </c>
      <c r="H606" s="1">
        <v>97</v>
      </c>
      <c r="I606" s="1">
        <v>92</v>
      </c>
      <c r="J606" s="1" t="e">
        <f>NA()</f>
        <v>#N/A</v>
      </c>
    </row>
    <row r="607" spans="1:10">
      <c r="A607" s="35"/>
      <c r="B607" s="36"/>
      <c r="C607" s="1">
        <v>3</v>
      </c>
      <c r="D607" s="1">
        <v>126</v>
      </c>
      <c r="E607" s="1" t="e">
        <f>NA()</f>
        <v>#N/A</v>
      </c>
      <c r="F607" s="1" t="e">
        <f>NA()</f>
        <v>#N/A</v>
      </c>
      <c r="G607" s="1" t="e">
        <f>NA()</f>
        <v>#N/A</v>
      </c>
      <c r="H607" s="1">
        <v>95</v>
      </c>
      <c r="I607" s="1">
        <v>78</v>
      </c>
      <c r="J607" s="1" t="e">
        <f>NA()</f>
        <v>#N/A</v>
      </c>
    </row>
    <row r="608" spans="1:10">
      <c r="A608" s="35"/>
      <c r="B608" s="36"/>
      <c r="C608" s="1">
        <v>4</v>
      </c>
      <c r="D608" s="1">
        <v>155</v>
      </c>
      <c r="E608" s="1" t="e">
        <f>NA()</f>
        <v>#N/A</v>
      </c>
      <c r="F608" s="1" t="e">
        <f>NA()</f>
        <v>#N/A</v>
      </c>
      <c r="G608" s="1" t="e">
        <f>NA()</f>
        <v>#N/A</v>
      </c>
      <c r="H608" s="1">
        <v>135</v>
      </c>
      <c r="I608" s="1">
        <v>144</v>
      </c>
      <c r="J608" s="1" t="e">
        <f>NA()</f>
        <v>#N/A</v>
      </c>
    </row>
    <row r="609" spans="1:10">
      <c r="A609" s="35"/>
      <c r="B609" s="36"/>
      <c r="C609" s="1">
        <v>5</v>
      </c>
      <c r="D609" s="1">
        <v>121</v>
      </c>
      <c r="E609" s="1" t="e">
        <f>NA()</f>
        <v>#N/A</v>
      </c>
      <c r="F609" s="1" t="e">
        <f>NA()</f>
        <v>#N/A</v>
      </c>
      <c r="G609" s="1" t="e">
        <f>NA()</f>
        <v>#N/A</v>
      </c>
      <c r="H609" s="1">
        <v>98</v>
      </c>
      <c r="I609" s="1">
        <v>144</v>
      </c>
      <c r="J609" s="1" t="e">
        <f>NA()</f>
        <v>#N/A</v>
      </c>
    </row>
    <row r="610" spans="1:10">
      <c r="A610" s="34" t="s">
        <v>113</v>
      </c>
      <c r="B610" s="36">
        <v>46108</v>
      </c>
      <c r="C610" s="1">
        <v>1</v>
      </c>
      <c r="D610" s="1">
        <v>131</v>
      </c>
      <c r="E610" s="1">
        <v>123</v>
      </c>
      <c r="F610" s="1" t="e">
        <f>NA()</f>
        <v>#N/A</v>
      </c>
      <c r="G610" s="1" t="e">
        <f>NA()</f>
        <v>#N/A</v>
      </c>
      <c r="H610" s="1">
        <v>124</v>
      </c>
      <c r="I610" s="1">
        <v>153</v>
      </c>
      <c r="J610" s="1" t="e">
        <f>NA()</f>
        <v>#N/A</v>
      </c>
    </row>
    <row r="611" spans="1:10">
      <c r="A611" s="35"/>
      <c r="B611" s="36"/>
      <c r="C611" s="1">
        <v>2</v>
      </c>
      <c r="D611" s="1">
        <v>136</v>
      </c>
      <c r="E611" s="1">
        <v>162</v>
      </c>
      <c r="F611" s="1" t="e">
        <f>NA()</f>
        <v>#N/A</v>
      </c>
      <c r="G611" s="1" t="e">
        <f>NA()</f>
        <v>#N/A</v>
      </c>
      <c r="H611" s="1">
        <v>163</v>
      </c>
      <c r="I611" s="1">
        <v>138</v>
      </c>
      <c r="J611" s="1" t="e">
        <f>NA()</f>
        <v>#N/A</v>
      </c>
    </row>
    <row r="612" spans="1:10">
      <c r="A612" s="35"/>
      <c r="B612" s="36"/>
      <c r="C612" s="1">
        <v>3</v>
      </c>
      <c r="D612" s="1">
        <v>127</v>
      </c>
      <c r="E612" s="1">
        <v>161</v>
      </c>
      <c r="F612" s="1" t="e">
        <f>NA()</f>
        <v>#N/A</v>
      </c>
      <c r="G612" s="1" t="e">
        <f>NA()</f>
        <v>#N/A</v>
      </c>
      <c r="H612" s="1">
        <v>117</v>
      </c>
      <c r="I612" s="1">
        <v>109</v>
      </c>
      <c r="J612" s="1" t="e">
        <f>NA()</f>
        <v>#N/A</v>
      </c>
    </row>
    <row r="613" spans="1:10">
      <c r="A613" s="35"/>
      <c r="B613" s="36"/>
      <c r="C613" s="1">
        <v>4</v>
      </c>
      <c r="D613" s="1">
        <v>122</v>
      </c>
      <c r="E613" s="1">
        <v>157</v>
      </c>
      <c r="F613" s="1" t="e">
        <f>NA()</f>
        <v>#N/A</v>
      </c>
      <c r="G613" s="1" t="e">
        <f>NA()</f>
        <v>#N/A</v>
      </c>
      <c r="H613" s="1">
        <v>135</v>
      </c>
      <c r="I613" s="1">
        <v>143</v>
      </c>
      <c r="J613" s="1" t="e">
        <f>NA()</f>
        <v>#N/A</v>
      </c>
    </row>
    <row r="614" spans="1:10">
      <c r="A614" s="35"/>
      <c r="B614" s="36"/>
      <c r="C614" s="1">
        <v>5</v>
      </c>
      <c r="D614" s="1">
        <v>136</v>
      </c>
      <c r="E614" s="1">
        <v>133</v>
      </c>
      <c r="F614" s="1" t="e">
        <f>NA()</f>
        <v>#N/A</v>
      </c>
      <c r="G614" s="1" t="e">
        <f>NA()</f>
        <v>#N/A</v>
      </c>
      <c r="H614" s="1">
        <v>113</v>
      </c>
      <c r="I614" s="1">
        <v>137</v>
      </c>
      <c r="J614" s="1" t="e">
        <f>NA()</f>
        <v>#N/A</v>
      </c>
    </row>
    <row r="615" spans="1:10">
      <c r="A615" s="34" t="s">
        <v>114</v>
      </c>
      <c r="B615" s="36">
        <v>46118</v>
      </c>
      <c r="C615" s="1">
        <v>1</v>
      </c>
      <c r="D615" s="1">
        <v>96</v>
      </c>
      <c r="E615" s="1">
        <v>161</v>
      </c>
      <c r="F615" s="1" t="e">
        <f>NA()</f>
        <v>#N/A</v>
      </c>
      <c r="G615" s="1" t="e">
        <f>NA()</f>
        <v>#N/A</v>
      </c>
      <c r="H615" s="1">
        <v>125</v>
      </c>
      <c r="I615" s="1">
        <v>85</v>
      </c>
      <c r="J615" s="1" t="e">
        <f>NA()</f>
        <v>#N/A</v>
      </c>
    </row>
    <row r="616" spans="1:10">
      <c r="A616" s="35"/>
      <c r="B616" s="36"/>
      <c r="C616" s="1">
        <v>2</v>
      </c>
      <c r="D616" s="1">
        <v>114</v>
      </c>
      <c r="E616" s="1">
        <v>137</v>
      </c>
      <c r="F616" s="1" t="e">
        <f>NA()</f>
        <v>#N/A</v>
      </c>
      <c r="G616" s="1" t="e">
        <f>NA()</f>
        <v>#N/A</v>
      </c>
      <c r="H616" s="1">
        <v>93</v>
      </c>
      <c r="I616" s="1">
        <v>78</v>
      </c>
      <c r="J616" s="1" t="e">
        <f>NA()</f>
        <v>#N/A</v>
      </c>
    </row>
    <row r="617" spans="1:10">
      <c r="A617" s="35"/>
      <c r="B617" s="36"/>
      <c r="C617" s="1">
        <v>3</v>
      </c>
      <c r="D617" s="1">
        <v>119</v>
      </c>
      <c r="E617" s="1">
        <v>143</v>
      </c>
      <c r="F617" s="1" t="e">
        <f>NA()</f>
        <v>#N/A</v>
      </c>
      <c r="G617" s="1" t="e">
        <f>NA()</f>
        <v>#N/A</v>
      </c>
      <c r="H617" s="1">
        <v>86</v>
      </c>
      <c r="I617" s="1">
        <v>146</v>
      </c>
      <c r="J617" s="1" t="e">
        <f>NA()</f>
        <v>#N/A</v>
      </c>
    </row>
    <row r="618" spans="1:10">
      <c r="A618" s="35"/>
      <c r="B618" s="36"/>
      <c r="C618" s="1">
        <v>4</v>
      </c>
      <c r="D618" s="1">
        <v>130</v>
      </c>
      <c r="E618" s="1">
        <v>125</v>
      </c>
      <c r="F618" s="1" t="e">
        <f>NA()</f>
        <v>#N/A</v>
      </c>
      <c r="G618" s="1" t="e">
        <f>NA()</f>
        <v>#N/A</v>
      </c>
      <c r="H618" s="1">
        <v>98</v>
      </c>
      <c r="I618" s="1">
        <v>115</v>
      </c>
      <c r="J618" s="1" t="e">
        <f>NA()</f>
        <v>#N/A</v>
      </c>
    </row>
    <row r="619" spans="1:10">
      <c r="A619" s="35"/>
      <c r="B619" s="36"/>
      <c r="C619" s="1">
        <v>5</v>
      </c>
      <c r="D619" s="1">
        <v>128</v>
      </c>
      <c r="E619" s="1">
        <v>174</v>
      </c>
      <c r="F619" s="1" t="e">
        <f>NA()</f>
        <v>#N/A</v>
      </c>
      <c r="G619" s="1" t="e">
        <f>NA()</f>
        <v>#N/A</v>
      </c>
      <c r="H619" s="1">
        <v>142</v>
      </c>
      <c r="I619" s="1">
        <v>131</v>
      </c>
      <c r="J619" s="1" t="e">
        <f>NA()</f>
        <v>#N/A</v>
      </c>
    </row>
    <row r="620" spans="1:10">
      <c r="A620" s="34" t="s">
        <v>115</v>
      </c>
      <c r="B620" s="36">
        <v>46137</v>
      </c>
      <c r="C620" s="1">
        <v>1</v>
      </c>
      <c r="D620" s="1">
        <v>133</v>
      </c>
      <c r="E620" s="1" t="e">
        <f>NA()</f>
        <v>#N/A</v>
      </c>
      <c r="F620" s="1" t="e">
        <f>NA()</f>
        <v>#N/A</v>
      </c>
      <c r="G620" s="1" t="e">
        <f>NA()</f>
        <v>#N/A</v>
      </c>
      <c r="H620" s="1">
        <v>88</v>
      </c>
      <c r="I620" s="1">
        <v>128</v>
      </c>
      <c r="J620" s="1" t="e">
        <f>NA()</f>
        <v>#N/A</v>
      </c>
    </row>
    <row r="621" spans="1:10">
      <c r="A621" s="35"/>
      <c r="B621" s="36"/>
      <c r="C621" s="1">
        <v>2</v>
      </c>
      <c r="D621" s="1">
        <v>140</v>
      </c>
      <c r="E621" s="1" t="e">
        <f>NA()</f>
        <v>#N/A</v>
      </c>
      <c r="F621" s="1" t="e">
        <f>NA()</f>
        <v>#N/A</v>
      </c>
      <c r="G621" s="1" t="e">
        <f>NA()</f>
        <v>#N/A</v>
      </c>
      <c r="H621" s="1">
        <v>112</v>
      </c>
      <c r="I621" s="1">
        <v>96</v>
      </c>
      <c r="J621" s="1" t="e">
        <f>NA()</f>
        <v>#N/A</v>
      </c>
    </row>
    <row r="622" spans="1:10">
      <c r="A622" s="35"/>
      <c r="B622" s="36"/>
      <c r="C622" s="1">
        <v>3</v>
      </c>
      <c r="D622" s="1">
        <v>159</v>
      </c>
      <c r="E622" s="1" t="e">
        <f>NA()</f>
        <v>#N/A</v>
      </c>
      <c r="F622" s="1" t="e">
        <f>NA()</f>
        <v>#N/A</v>
      </c>
      <c r="G622" s="1" t="e">
        <f>NA()</f>
        <v>#N/A</v>
      </c>
      <c r="H622" s="1">
        <v>97</v>
      </c>
      <c r="I622" s="1">
        <v>107</v>
      </c>
      <c r="J622" s="1" t="e">
        <f>NA()</f>
        <v>#N/A</v>
      </c>
    </row>
    <row r="623" spans="1:10">
      <c r="A623" s="35"/>
      <c r="B623" s="36"/>
      <c r="C623" s="1">
        <v>4</v>
      </c>
      <c r="D623" s="1">
        <v>122</v>
      </c>
      <c r="E623" s="1" t="e">
        <f>NA()</f>
        <v>#N/A</v>
      </c>
      <c r="F623" s="1" t="e">
        <f>NA()</f>
        <v>#N/A</v>
      </c>
      <c r="G623" s="1" t="e">
        <f>NA()</f>
        <v>#N/A</v>
      </c>
      <c r="H623" s="1">
        <v>115</v>
      </c>
      <c r="I623" s="1">
        <v>112</v>
      </c>
      <c r="J623" s="1" t="e">
        <f>NA()</f>
        <v>#N/A</v>
      </c>
    </row>
    <row r="624" spans="1:10">
      <c r="A624" s="35"/>
      <c r="B624" s="36"/>
      <c r="C624" s="1">
        <v>5</v>
      </c>
      <c r="D624" s="1">
        <v>160</v>
      </c>
      <c r="E624" s="1" t="e">
        <f>NA()</f>
        <v>#N/A</v>
      </c>
      <c r="F624" s="1" t="e">
        <f>NA()</f>
        <v>#N/A</v>
      </c>
      <c r="G624" s="1" t="e">
        <f>NA()</f>
        <v>#N/A</v>
      </c>
      <c r="H624" s="1">
        <v>114</v>
      </c>
      <c r="I624" s="1">
        <v>134</v>
      </c>
      <c r="J624" s="1" t="e">
        <f>NA()</f>
        <v>#N/A</v>
      </c>
    </row>
    <row r="625" spans="1:10">
      <c r="A625" s="53" t="s">
        <v>116</v>
      </c>
      <c r="B625" s="36">
        <v>46145</v>
      </c>
      <c r="C625" s="1">
        <v>1</v>
      </c>
      <c r="D625" s="1">
        <v>114</v>
      </c>
      <c r="E625" s="1">
        <v>134</v>
      </c>
      <c r="F625" s="1" t="e">
        <f>NA()</f>
        <v>#N/A</v>
      </c>
      <c r="G625" s="1" t="e">
        <f>NA()</f>
        <v>#N/A</v>
      </c>
      <c r="H625" s="1">
        <v>118</v>
      </c>
      <c r="I625" s="1">
        <v>115</v>
      </c>
      <c r="J625" s="1" t="e">
        <f>NA()</f>
        <v>#N/A</v>
      </c>
    </row>
    <row r="626" spans="1:10">
      <c r="A626" s="54"/>
      <c r="B626" s="36"/>
      <c r="C626" s="1">
        <v>2</v>
      </c>
      <c r="D626" s="1">
        <v>115</v>
      </c>
      <c r="E626" s="1">
        <v>131</v>
      </c>
      <c r="F626" s="1" t="e">
        <f>NA()</f>
        <v>#N/A</v>
      </c>
      <c r="G626" s="1" t="e">
        <f>NA()</f>
        <v>#N/A</v>
      </c>
      <c r="H626" s="1">
        <v>115</v>
      </c>
      <c r="I626" s="1">
        <v>81</v>
      </c>
      <c r="J626" s="1" t="e">
        <f>NA()</f>
        <v>#N/A</v>
      </c>
    </row>
    <row r="627" spans="1:10">
      <c r="A627" s="54"/>
      <c r="B627" s="36"/>
      <c r="C627" s="1">
        <v>3</v>
      </c>
      <c r="D627" s="1">
        <v>137</v>
      </c>
      <c r="E627" s="1">
        <v>158</v>
      </c>
      <c r="F627" s="1" t="e">
        <f>NA()</f>
        <v>#N/A</v>
      </c>
      <c r="G627" s="1" t="e">
        <f>NA()</f>
        <v>#N/A</v>
      </c>
      <c r="H627" s="1">
        <v>97</v>
      </c>
      <c r="I627" s="1">
        <v>107</v>
      </c>
      <c r="J627" s="1" t="e">
        <f>NA()</f>
        <v>#N/A</v>
      </c>
    </row>
    <row r="628" spans="1:10">
      <c r="A628" s="54"/>
      <c r="B628" s="36"/>
      <c r="C628" s="1">
        <v>4</v>
      </c>
      <c r="D628" s="1">
        <v>101</v>
      </c>
      <c r="E628" s="1">
        <v>168</v>
      </c>
      <c r="F628" s="1" t="e">
        <f>NA()</f>
        <v>#N/A</v>
      </c>
      <c r="G628" s="1" t="e">
        <f>NA()</f>
        <v>#N/A</v>
      </c>
      <c r="H628" s="1">
        <v>121</v>
      </c>
      <c r="I628" s="1">
        <v>126</v>
      </c>
      <c r="J628" s="1" t="e">
        <f>NA()</f>
        <v>#N/A</v>
      </c>
    </row>
    <row r="629" spans="1:10">
      <c r="A629" s="54"/>
      <c r="B629" s="36"/>
      <c r="C629" s="1">
        <v>5</v>
      </c>
      <c r="D629" s="1">
        <v>131</v>
      </c>
      <c r="E629" s="1">
        <v>145</v>
      </c>
      <c r="F629" s="1" t="e">
        <f>NA()</f>
        <v>#N/A</v>
      </c>
      <c r="G629" s="1" t="e">
        <f>NA()</f>
        <v>#N/A</v>
      </c>
      <c r="H629" s="1">
        <v>160</v>
      </c>
      <c r="I629" s="1">
        <v>114</v>
      </c>
      <c r="J629" s="1" t="e">
        <f>NA()</f>
        <v>#N/A</v>
      </c>
    </row>
    <row r="630" spans="1:10">
      <c r="A630" s="34" t="s">
        <v>117</v>
      </c>
      <c r="B630" s="36">
        <v>46152</v>
      </c>
      <c r="C630" s="1">
        <v>1</v>
      </c>
      <c r="D630" s="1">
        <v>133</v>
      </c>
      <c r="E630" s="1" t="e">
        <f>NA()</f>
        <v>#N/A</v>
      </c>
      <c r="F630" s="1" t="e">
        <f>NA()</f>
        <v>#N/A</v>
      </c>
      <c r="G630" s="1" t="e">
        <f>NA()</f>
        <v>#N/A</v>
      </c>
      <c r="H630" s="1">
        <v>100</v>
      </c>
      <c r="I630" s="1" t="e">
        <f>NA()</f>
        <v>#N/A</v>
      </c>
      <c r="J630" s="1" t="e">
        <f>NA()</f>
        <v>#N/A</v>
      </c>
    </row>
    <row r="631" spans="1:10">
      <c r="A631" s="35"/>
      <c r="B631" s="36"/>
      <c r="C631" s="1">
        <v>2</v>
      </c>
      <c r="D631" s="1">
        <v>134</v>
      </c>
      <c r="E631" s="1" t="e">
        <f>NA()</f>
        <v>#N/A</v>
      </c>
      <c r="F631" s="1" t="e">
        <f>NA()</f>
        <v>#N/A</v>
      </c>
      <c r="G631" s="1" t="e">
        <f>NA()</f>
        <v>#N/A</v>
      </c>
      <c r="H631" s="1">
        <v>123</v>
      </c>
      <c r="I631" s="1" t="e">
        <f>NA()</f>
        <v>#N/A</v>
      </c>
      <c r="J631" s="1" t="e">
        <f>NA()</f>
        <v>#N/A</v>
      </c>
    </row>
    <row r="632" spans="1:10">
      <c r="A632" s="35"/>
      <c r="B632" s="36"/>
      <c r="C632" s="1">
        <v>3</v>
      </c>
      <c r="D632" s="1">
        <v>122</v>
      </c>
      <c r="E632" s="1" t="e">
        <f>NA()</f>
        <v>#N/A</v>
      </c>
      <c r="F632" s="1" t="e">
        <f>NA()</f>
        <v>#N/A</v>
      </c>
      <c r="G632" s="1" t="e">
        <f>NA()</f>
        <v>#N/A</v>
      </c>
      <c r="H632" s="1">
        <v>109</v>
      </c>
      <c r="I632" s="1" t="e">
        <f>NA()</f>
        <v>#N/A</v>
      </c>
      <c r="J632" s="1" t="e">
        <f>NA()</f>
        <v>#N/A</v>
      </c>
    </row>
    <row r="633" spans="1:10">
      <c r="A633" s="35"/>
      <c r="B633" s="36"/>
      <c r="C633" s="1">
        <v>4</v>
      </c>
      <c r="D633" s="1">
        <v>174</v>
      </c>
      <c r="E633" s="1" t="e">
        <f>NA()</f>
        <v>#N/A</v>
      </c>
      <c r="F633" s="1" t="e">
        <f>NA()</f>
        <v>#N/A</v>
      </c>
      <c r="G633" s="1" t="e">
        <f>NA()</f>
        <v>#N/A</v>
      </c>
      <c r="H633" s="1">
        <v>110</v>
      </c>
      <c r="I633" s="1" t="e">
        <f>NA()</f>
        <v>#N/A</v>
      </c>
      <c r="J633" s="1" t="e">
        <f>NA()</f>
        <v>#N/A</v>
      </c>
    </row>
    <row r="634" spans="1:10">
      <c r="A634" s="35"/>
      <c r="B634" s="36"/>
      <c r="C634" s="1">
        <v>5</v>
      </c>
      <c r="D634" s="1">
        <v>159</v>
      </c>
      <c r="E634" s="1" t="e">
        <f>NA()</f>
        <v>#N/A</v>
      </c>
      <c r="F634" s="1" t="e">
        <f>NA()</f>
        <v>#N/A</v>
      </c>
      <c r="G634" s="1" t="e">
        <f>NA()</f>
        <v>#N/A</v>
      </c>
      <c r="H634" s="1">
        <v>131</v>
      </c>
      <c r="I634" s="1" t="e">
        <f>NA()</f>
        <v>#N/A</v>
      </c>
      <c r="J634" s="1" t="e">
        <f>NA()</f>
        <v>#N/A</v>
      </c>
    </row>
    <row r="635" spans="1:10">
      <c r="A635" s="34" t="s">
        <v>118</v>
      </c>
      <c r="B635" s="36">
        <v>46166</v>
      </c>
      <c r="C635" s="1">
        <v>1</v>
      </c>
      <c r="D635" s="1">
        <v>115</v>
      </c>
      <c r="E635" s="1" t="e">
        <f>NA()</f>
        <v>#N/A</v>
      </c>
      <c r="F635" s="1" t="e">
        <f>NA()</f>
        <v>#N/A</v>
      </c>
      <c r="G635" s="1" t="e">
        <f>NA()</f>
        <v>#N/A</v>
      </c>
      <c r="H635" s="1">
        <v>87</v>
      </c>
      <c r="I635" s="1">
        <v>107</v>
      </c>
      <c r="J635" s="1" t="e">
        <f>NA()</f>
        <v>#N/A</v>
      </c>
    </row>
    <row r="636" spans="1:10">
      <c r="A636" s="35"/>
      <c r="B636" s="36"/>
      <c r="C636" s="1">
        <v>2</v>
      </c>
      <c r="D636" s="1">
        <v>148</v>
      </c>
      <c r="E636" s="1" t="e">
        <f>NA()</f>
        <v>#N/A</v>
      </c>
      <c r="F636" s="1" t="e">
        <f>NA()</f>
        <v>#N/A</v>
      </c>
      <c r="G636" s="1" t="e">
        <f>NA()</f>
        <v>#N/A</v>
      </c>
      <c r="H636" s="1">
        <v>76</v>
      </c>
      <c r="I636" s="1">
        <v>78</v>
      </c>
      <c r="J636" s="1" t="e">
        <f>NA()</f>
        <v>#N/A</v>
      </c>
    </row>
    <row r="637" spans="1:10">
      <c r="A637" s="35"/>
      <c r="B637" s="36"/>
      <c r="C637" s="1">
        <v>3</v>
      </c>
      <c r="D637" s="1">
        <v>118</v>
      </c>
      <c r="E637" s="1" t="e">
        <f>NA()</f>
        <v>#N/A</v>
      </c>
      <c r="F637" s="1" t="e">
        <f>NA()</f>
        <v>#N/A</v>
      </c>
      <c r="G637" s="1" t="e">
        <f>NA()</f>
        <v>#N/A</v>
      </c>
      <c r="H637" s="1">
        <v>107</v>
      </c>
      <c r="I637" s="1">
        <v>86</v>
      </c>
      <c r="J637" s="1" t="e">
        <f>NA()</f>
        <v>#N/A</v>
      </c>
    </row>
    <row r="638" spans="1:10">
      <c r="A638" s="35"/>
      <c r="B638" s="36"/>
      <c r="C638" s="1">
        <v>4</v>
      </c>
      <c r="D638" s="1">
        <v>139</v>
      </c>
      <c r="E638" s="1" t="e">
        <f>NA()</f>
        <v>#N/A</v>
      </c>
      <c r="F638" s="1" t="e">
        <f>NA()</f>
        <v>#N/A</v>
      </c>
      <c r="G638" s="1" t="e">
        <f>NA()</f>
        <v>#N/A</v>
      </c>
      <c r="H638" s="1">
        <v>90</v>
      </c>
      <c r="I638" s="1">
        <v>120</v>
      </c>
      <c r="J638" s="1" t="e">
        <f>NA()</f>
        <v>#N/A</v>
      </c>
    </row>
    <row r="639" spans="1:10">
      <c r="A639" s="35"/>
      <c r="B639" s="36"/>
      <c r="C639" s="1">
        <v>5</v>
      </c>
      <c r="D639" s="1">
        <v>143</v>
      </c>
      <c r="E639" s="1" t="e">
        <f>NA()</f>
        <v>#N/A</v>
      </c>
      <c r="F639" s="1" t="e">
        <f>NA()</f>
        <v>#N/A</v>
      </c>
      <c r="G639" s="1" t="e">
        <f>NA()</f>
        <v>#N/A</v>
      </c>
      <c r="H639" s="1">
        <v>149</v>
      </c>
      <c r="I639" s="1">
        <v>94</v>
      </c>
      <c r="J639" s="1" t="e">
        <f>NA()</f>
        <v>#N/A</v>
      </c>
    </row>
    <row r="640" spans="1:10">
      <c r="A640" s="34" t="s">
        <v>119</v>
      </c>
      <c r="B640" s="36">
        <v>46171</v>
      </c>
      <c r="C640" s="1">
        <v>1</v>
      </c>
      <c r="D640" s="1" t="e">
        <f>NA()</f>
        <v>#N/A</v>
      </c>
      <c r="E640" s="1">
        <v>188</v>
      </c>
      <c r="F640" s="1" t="e">
        <f>NA()</f>
        <v>#N/A</v>
      </c>
      <c r="G640" s="1" t="e">
        <f>NA()</f>
        <v>#N/A</v>
      </c>
      <c r="H640" s="1">
        <v>99</v>
      </c>
      <c r="I640" s="1" t="e">
        <f>NA()</f>
        <v>#N/A</v>
      </c>
      <c r="J640" s="1" t="e">
        <f>NA()</f>
        <v>#N/A</v>
      </c>
    </row>
    <row r="641" spans="1:10">
      <c r="A641" s="35"/>
      <c r="B641" s="36"/>
      <c r="C641" s="1">
        <v>2</v>
      </c>
      <c r="D641" s="1" t="e">
        <f>NA()</f>
        <v>#N/A</v>
      </c>
      <c r="E641" s="1">
        <v>166</v>
      </c>
      <c r="F641" s="1" t="e">
        <f>NA()</f>
        <v>#N/A</v>
      </c>
      <c r="G641" s="1" t="e">
        <f>NA()</f>
        <v>#N/A</v>
      </c>
      <c r="H641" s="1">
        <v>129</v>
      </c>
      <c r="I641" s="1" t="e">
        <f>NA()</f>
        <v>#N/A</v>
      </c>
      <c r="J641" s="1" t="e">
        <f>NA()</f>
        <v>#N/A</v>
      </c>
    </row>
    <row r="642" spans="1:10">
      <c r="A642" s="35"/>
      <c r="B642" s="36"/>
      <c r="C642" s="1">
        <v>3</v>
      </c>
      <c r="D642" s="1" t="e">
        <f>NA()</f>
        <v>#N/A</v>
      </c>
      <c r="E642" s="1">
        <v>143</v>
      </c>
      <c r="F642" s="1" t="e">
        <f>NA()</f>
        <v>#N/A</v>
      </c>
      <c r="G642" s="1" t="e">
        <f>NA()</f>
        <v>#N/A</v>
      </c>
      <c r="H642" s="1">
        <v>80</v>
      </c>
      <c r="I642" s="1" t="e">
        <f>NA()</f>
        <v>#N/A</v>
      </c>
      <c r="J642" s="1" t="e">
        <f>NA()</f>
        <v>#N/A</v>
      </c>
    </row>
    <row r="643" spans="1:10">
      <c r="A643" s="35"/>
      <c r="B643" s="36"/>
      <c r="C643" s="1">
        <v>4</v>
      </c>
      <c r="D643" s="1" t="e">
        <f>NA()</f>
        <v>#N/A</v>
      </c>
      <c r="E643" s="1">
        <v>155</v>
      </c>
      <c r="F643" s="1" t="e">
        <f>NA()</f>
        <v>#N/A</v>
      </c>
      <c r="G643" s="1" t="e">
        <f>NA()</f>
        <v>#N/A</v>
      </c>
      <c r="H643" s="1">
        <v>152</v>
      </c>
      <c r="I643" s="1" t="e">
        <f>NA()</f>
        <v>#N/A</v>
      </c>
      <c r="J643" s="1" t="e">
        <f>NA()</f>
        <v>#N/A</v>
      </c>
    </row>
    <row r="644" spans="1:10">
      <c r="A644" s="35"/>
      <c r="B644" s="36"/>
      <c r="C644" s="1">
        <v>5</v>
      </c>
      <c r="D644" s="1" t="e">
        <f>NA()</f>
        <v>#N/A</v>
      </c>
      <c r="E644" s="1">
        <v>176</v>
      </c>
      <c r="F644" s="1" t="e">
        <f>NA()</f>
        <v>#N/A</v>
      </c>
      <c r="G644" s="1" t="e">
        <f>NA()</f>
        <v>#N/A</v>
      </c>
      <c r="H644" s="1">
        <v>114</v>
      </c>
      <c r="I644" s="1" t="e">
        <f>NA()</f>
        <v>#N/A</v>
      </c>
      <c r="J644" s="1" t="e">
        <f>NA()</f>
        <v>#N/A</v>
      </c>
    </row>
    <row r="645" spans="1:10">
      <c r="A645" s="34" t="s">
        <v>120</v>
      </c>
      <c r="B645" s="36">
        <v>46178</v>
      </c>
      <c r="C645" s="1">
        <v>1</v>
      </c>
      <c r="D645" s="1" t="e">
        <f>NA()</f>
        <v>#N/A</v>
      </c>
      <c r="E645" s="1">
        <v>130</v>
      </c>
      <c r="F645" s="1" t="e">
        <f>NA()</f>
        <v>#N/A</v>
      </c>
      <c r="G645" s="1" t="e">
        <f>NA()</f>
        <v>#N/A</v>
      </c>
      <c r="H645" s="1">
        <v>112</v>
      </c>
      <c r="I645" s="1" t="e">
        <f>NA()</f>
        <v>#N/A</v>
      </c>
      <c r="J645" s="1" t="e">
        <f>NA()</f>
        <v>#N/A</v>
      </c>
    </row>
    <row r="646" spans="1:10">
      <c r="A646" s="35"/>
      <c r="B646" s="36"/>
      <c r="C646" s="1">
        <v>2</v>
      </c>
      <c r="D646" s="1" t="e">
        <f>NA()</f>
        <v>#N/A</v>
      </c>
      <c r="E646" s="1">
        <v>142</v>
      </c>
      <c r="F646" s="1" t="e">
        <f>NA()</f>
        <v>#N/A</v>
      </c>
      <c r="G646" s="1" t="e">
        <f>NA()</f>
        <v>#N/A</v>
      </c>
      <c r="H646" s="1">
        <v>119</v>
      </c>
      <c r="I646" s="1" t="e">
        <f>NA()</f>
        <v>#N/A</v>
      </c>
      <c r="J646" s="1" t="e">
        <f>NA()</f>
        <v>#N/A</v>
      </c>
    </row>
    <row r="647" spans="1:10">
      <c r="A647" s="35"/>
      <c r="B647" s="36"/>
      <c r="C647" s="1">
        <v>3</v>
      </c>
      <c r="D647" s="1" t="e">
        <f>NA()</f>
        <v>#N/A</v>
      </c>
      <c r="E647" s="1">
        <v>137</v>
      </c>
      <c r="F647" s="1" t="e">
        <f>NA()</f>
        <v>#N/A</v>
      </c>
      <c r="G647" s="1" t="e">
        <f>NA()</f>
        <v>#N/A</v>
      </c>
      <c r="H647" s="1">
        <v>114</v>
      </c>
      <c r="I647" s="1" t="e">
        <f>NA()</f>
        <v>#N/A</v>
      </c>
      <c r="J647" s="1" t="e">
        <f>NA()</f>
        <v>#N/A</v>
      </c>
    </row>
    <row r="648" spans="1:10">
      <c r="A648" s="35"/>
      <c r="B648" s="36"/>
      <c r="C648" s="1">
        <v>4</v>
      </c>
      <c r="D648" s="1" t="e">
        <f>NA()</f>
        <v>#N/A</v>
      </c>
      <c r="E648" s="1">
        <v>132</v>
      </c>
      <c r="F648" s="1" t="e">
        <f>NA()</f>
        <v>#N/A</v>
      </c>
      <c r="G648" s="1" t="e">
        <f>NA()</f>
        <v>#N/A</v>
      </c>
      <c r="H648" s="1">
        <v>103</v>
      </c>
      <c r="I648" s="1" t="e">
        <f>NA()</f>
        <v>#N/A</v>
      </c>
      <c r="J648" s="1" t="e">
        <f>NA()</f>
        <v>#N/A</v>
      </c>
    </row>
    <row r="649" spans="1:10">
      <c r="A649" s="35"/>
      <c r="B649" s="36"/>
      <c r="C649" s="1">
        <v>5</v>
      </c>
      <c r="D649" s="1" t="e">
        <f>NA()</f>
        <v>#N/A</v>
      </c>
      <c r="E649" s="1">
        <v>157</v>
      </c>
      <c r="F649" s="1" t="e">
        <f>NA()</f>
        <v>#N/A</v>
      </c>
      <c r="G649" s="1" t="e">
        <f>NA()</f>
        <v>#N/A</v>
      </c>
      <c r="H649" s="1">
        <v>106</v>
      </c>
      <c r="I649" s="1" t="e">
        <f>NA()</f>
        <v>#N/A</v>
      </c>
      <c r="J649" s="1" t="e">
        <f>NA()</f>
        <v>#N/A</v>
      </c>
    </row>
    <row r="650" spans="1:10">
      <c r="A650" s="34" t="s">
        <v>121</v>
      </c>
      <c r="B650" s="36">
        <v>46192</v>
      </c>
      <c r="C650" s="1">
        <v>1</v>
      </c>
      <c r="D650" s="1">
        <v>135</v>
      </c>
      <c r="E650" s="1" t="e">
        <f>NA()</f>
        <v>#N/A</v>
      </c>
      <c r="F650" s="1" t="e">
        <f>NA()</f>
        <v>#N/A</v>
      </c>
      <c r="G650" s="1" t="e">
        <f>NA()</f>
        <v>#N/A</v>
      </c>
      <c r="H650" s="1">
        <v>130</v>
      </c>
      <c r="I650" s="1">
        <v>100</v>
      </c>
      <c r="J650" s="1" t="e">
        <f>NA()</f>
        <v>#N/A</v>
      </c>
    </row>
    <row r="651" spans="1:10">
      <c r="A651" s="35"/>
      <c r="B651" s="36"/>
      <c r="C651" s="1">
        <v>2</v>
      </c>
      <c r="D651" s="1">
        <v>136</v>
      </c>
      <c r="E651" s="1" t="e">
        <f>NA()</f>
        <v>#N/A</v>
      </c>
      <c r="F651" s="1" t="e">
        <f>NA()</f>
        <v>#N/A</v>
      </c>
      <c r="G651" s="1" t="e">
        <f>NA()</f>
        <v>#N/A</v>
      </c>
      <c r="H651" s="1">
        <v>128</v>
      </c>
      <c r="I651" s="1">
        <v>123</v>
      </c>
      <c r="J651" s="1" t="e">
        <f>NA()</f>
        <v>#N/A</v>
      </c>
    </row>
    <row r="652" spans="1:10">
      <c r="A652" s="35"/>
      <c r="B652" s="36"/>
      <c r="C652" s="1">
        <v>3</v>
      </c>
      <c r="D652" s="1">
        <v>137</v>
      </c>
      <c r="E652" s="1" t="e">
        <f>NA()</f>
        <v>#N/A</v>
      </c>
      <c r="F652" s="1" t="e">
        <f>NA()</f>
        <v>#N/A</v>
      </c>
      <c r="G652" s="1" t="e">
        <f>NA()</f>
        <v>#N/A</v>
      </c>
      <c r="H652" s="1">
        <v>135</v>
      </c>
      <c r="I652" s="1">
        <v>119</v>
      </c>
      <c r="J652" s="1" t="e">
        <f>NA()</f>
        <v>#N/A</v>
      </c>
    </row>
    <row r="653" spans="1:10">
      <c r="A653" s="35"/>
      <c r="B653" s="36"/>
      <c r="C653" s="1">
        <v>4</v>
      </c>
      <c r="D653" s="1">
        <v>166</v>
      </c>
      <c r="E653" s="1" t="e">
        <f>NA()</f>
        <v>#N/A</v>
      </c>
      <c r="F653" s="1" t="e">
        <f>NA()</f>
        <v>#N/A</v>
      </c>
      <c r="G653" s="1" t="e">
        <f>NA()</f>
        <v>#N/A</v>
      </c>
      <c r="H653" s="1">
        <v>90</v>
      </c>
      <c r="I653" s="1">
        <v>119</v>
      </c>
      <c r="J653" s="1" t="e">
        <f>NA()</f>
        <v>#N/A</v>
      </c>
    </row>
    <row r="654" spans="1:10">
      <c r="A654" s="35"/>
      <c r="B654" s="36"/>
      <c r="C654" s="1">
        <v>5</v>
      </c>
      <c r="D654" s="1">
        <v>139</v>
      </c>
      <c r="E654" s="1" t="e">
        <f>NA()</f>
        <v>#N/A</v>
      </c>
      <c r="F654" s="1" t="e">
        <f>NA()</f>
        <v>#N/A</v>
      </c>
      <c r="G654" s="1" t="e">
        <f>NA()</f>
        <v>#N/A</v>
      </c>
      <c r="H654" s="1">
        <v>96</v>
      </c>
      <c r="I654" s="1">
        <v>128</v>
      </c>
      <c r="J654" s="1" t="e">
        <f>NA()</f>
        <v>#N/A</v>
      </c>
    </row>
    <row r="655" spans="1:10">
      <c r="A655" s="34" t="s">
        <v>124</v>
      </c>
      <c r="B655" s="36">
        <v>46213</v>
      </c>
      <c r="C655" s="1">
        <v>1</v>
      </c>
      <c r="D655" s="1">
        <v>100</v>
      </c>
      <c r="E655" s="1">
        <v>149</v>
      </c>
      <c r="F655" s="1" t="e">
        <f>NA()</f>
        <v>#N/A</v>
      </c>
      <c r="G655" s="1" t="e">
        <f>NA()</f>
        <v>#N/A</v>
      </c>
      <c r="H655" s="1">
        <v>160</v>
      </c>
      <c r="I655" s="1">
        <v>136</v>
      </c>
      <c r="J655" s="1" t="e">
        <f>NA()</f>
        <v>#N/A</v>
      </c>
    </row>
    <row r="656" spans="1:10">
      <c r="A656" s="35"/>
      <c r="B656" s="36"/>
      <c r="C656" s="1">
        <v>2</v>
      </c>
      <c r="D656" s="1">
        <v>171</v>
      </c>
      <c r="E656" s="1">
        <v>141</v>
      </c>
      <c r="F656" s="1" t="e">
        <f>NA()</f>
        <v>#N/A</v>
      </c>
      <c r="G656" s="1" t="e">
        <f>NA()</f>
        <v>#N/A</v>
      </c>
      <c r="H656" s="1">
        <v>110</v>
      </c>
      <c r="I656" s="1">
        <v>89</v>
      </c>
      <c r="J656" s="1" t="e">
        <f>NA()</f>
        <v>#N/A</v>
      </c>
    </row>
    <row r="657" spans="1:10">
      <c r="A657" s="35"/>
      <c r="B657" s="36"/>
      <c r="C657" s="1">
        <v>3</v>
      </c>
      <c r="D657" s="1">
        <v>140</v>
      </c>
      <c r="E657" s="1">
        <v>144</v>
      </c>
      <c r="F657" s="1" t="e">
        <f>NA()</f>
        <v>#N/A</v>
      </c>
      <c r="G657" s="1" t="e">
        <f>NA()</f>
        <v>#N/A</v>
      </c>
      <c r="H657" s="1">
        <v>137</v>
      </c>
      <c r="I657" s="1">
        <v>120</v>
      </c>
      <c r="J657" s="1" t="e">
        <f>NA()</f>
        <v>#N/A</v>
      </c>
    </row>
    <row r="658" spans="1:10">
      <c r="A658" s="35"/>
      <c r="B658" s="36"/>
      <c r="C658" s="1">
        <v>4</v>
      </c>
      <c r="D658" s="1">
        <v>100</v>
      </c>
      <c r="E658" s="1">
        <v>191</v>
      </c>
      <c r="F658" s="1" t="e">
        <f>NA()</f>
        <v>#N/A</v>
      </c>
      <c r="G658" s="1" t="e">
        <f>NA()</f>
        <v>#N/A</v>
      </c>
      <c r="H658" s="1">
        <v>101</v>
      </c>
      <c r="I658" s="1">
        <v>173</v>
      </c>
      <c r="J658" s="1" t="e">
        <f>NA()</f>
        <v>#N/A</v>
      </c>
    </row>
    <row r="659" spans="1:10">
      <c r="A659" s="35"/>
      <c r="B659" s="36"/>
      <c r="C659" s="1">
        <v>5</v>
      </c>
      <c r="D659" s="1">
        <v>142</v>
      </c>
      <c r="E659" s="1">
        <v>145</v>
      </c>
      <c r="F659" s="1" t="s">
        <v>128</v>
      </c>
      <c r="G659" s="1" t="e">
        <f>NA()</f>
        <v>#N/A</v>
      </c>
      <c r="H659" s="1">
        <v>98</v>
      </c>
      <c r="I659" s="1">
        <v>154</v>
      </c>
      <c r="J659" s="1" t="e">
        <f>NA()</f>
        <v>#N/A</v>
      </c>
    </row>
    <row r="660" spans="1:10">
      <c r="A660" s="34" t="s">
        <v>125</v>
      </c>
      <c r="B660" s="36">
        <v>46222</v>
      </c>
      <c r="C660" s="1">
        <v>1</v>
      </c>
      <c r="D660" s="1">
        <v>135</v>
      </c>
      <c r="E660" s="1">
        <v>124</v>
      </c>
      <c r="F660" s="1" t="e">
        <f>NA()</f>
        <v>#N/A</v>
      </c>
      <c r="G660" s="1" t="e">
        <f>NA()</f>
        <v>#N/A</v>
      </c>
      <c r="H660" s="1">
        <v>112</v>
      </c>
      <c r="I660" s="1">
        <v>96</v>
      </c>
      <c r="J660" s="1" t="e">
        <f>NA()</f>
        <v>#N/A</v>
      </c>
    </row>
    <row r="661" spans="1:10">
      <c r="A661" s="35"/>
      <c r="B661" s="36"/>
      <c r="C661" s="1">
        <v>2</v>
      </c>
      <c r="D661" s="1">
        <v>130</v>
      </c>
      <c r="E661" s="1">
        <v>154</v>
      </c>
      <c r="F661" s="1" t="e">
        <f>NA()</f>
        <v>#N/A</v>
      </c>
      <c r="G661" s="1" t="e">
        <f>NA()</f>
        <v>#N/A</v>
      </c>
      <c r="H661" s="1">
        <v>156</v>
      </c>
      <c r="I661" s="1">
        <v>143</v>
      </c>
      <c r="J661" s="1" t="e">
        <f>NA()</f>
        <v>#N/A</v>
      </c>
    </row>
    <row r="662" spans="1:10">
      <c r="A662" s="35"/>
      <c r="B662" s="36"/>
      <c r="C662" s="1">
        <v>3</v>
      </c>
      <c r="D662" s="1">
        <v>144</v>
      </c>
      <c r="E662" s="1">
        <v>146</v>
      </c>
      <c r="F662" s="1" t="e">
        <f>NA()</f>
        <v>#N/A</v>
      </c>
      <c r="G662" s="1" t="e">
        <f>NA()</f>
        <v>#N/A</v>
      </c>
      <c r="H662" s="1">
        <v>125</v>
      </c>
      <c r="I662" s="1">
        <v>79</v>
      </c>
      <c r="J662" s="1" t="e">
        <f>NA()</f>
        <v>#N/A</v>
      </c>
    </row>
    <row r="663" spans="1:10">
      <c r="A663" s="35"/>
      <c r="B663" s="36"/>
      <c r="C663" s="1">
        <v>4</v>
      </c>
      <c r="D663" s="1">
        <v>130</v>
      </c>
      <c r="E663" s="1">
        <v>134</v>
      </c>
      <c r="F663" s="1" t="e">
        <f>NA()</f>
        <v>#N/A</v>
      </c>
      <c r="G663" s="1" t="e">
        <f>NA()</f>
        <v>#N/A</v>
      </c>
      <c r="H663" s="1">
        <v>118</v>
      </c>
      <c r="I663" s="1">
        <v>119</v>
      </c>
      <c r="J663" s="1" t="e">
        <f>NA()</f>
        <v>#N/A</v>
      </c>
    </row>
    <row r="664" spans="1:10">
      <c r="A664" s="35"/>
      <c r="B664" s="36"/>
      <c r="C664" s="1">
        <v>5</v>
      </c>
      <c r="D664" s="1">
        <v>104</v>
      </c>
      <c r="E664" s="1">
        <v>126</v>
      </c>
      <c r="F664" s="1" t="e">
        <f>NA()</f>
        <v>#N/A</v>
      </c>
      <c r="G664" s="1" t="e">
        <f>NA()</f>
        <v>#N/A</v>
      </c>
      <c r="H664" s="1">
        <v>164</v>
      </c>
      <c r="I664" s="1">
        <v>135</v>
      </c>
      <c r="J664" s="1" t="e">
        <f>NA()</f>
        <v>#N/A</v>
      </c>
    </row>
    <row r="665" spans="1:10">
      <c r="A665" s="34" t="s">
        <v>126</v>
      </c>
      <c r="B665" s="36">
        <v>46241</v>
      </c>
      <c r="C665" s="1">
        <v>1</v>
      </c>
      <c r="D665" s="1">
        <v>194</v>
      </c>
      <c r="E665" s="1">
        <v>149</v>
      </c>
      <c r="F665" s="1" t="e">
        <f>NA()</f>
        <v>#N/A</v>
      </c>
      <c r="G665" s="1" t="e">
        <f>NA()</f>
        <v>#N/A</v>
      </c>
      <c r="H665" s="1">
        <v>109</v>
      </c>
      <c r="I665" s="1" t="e">
        <f>NA()</f>
        <v>#N/A</v>
      </c>
      <c r="J665" s="1" t="e">
        <f>NA()</f>
        <v>#N/A</v>
      </c>
    </row>
    <row r="666" spans="1:10">
      <c r="A666" s="35"/>
      <c r="B666" s="36"/>
      <c r="C666" s="1">
        <v>2</v>
      </c>
      <c r="D666" s="1">
        <v>115</v>
      </c>
      <c r="E666" s="1">
        <v>144</v>
      </c>
      <c r="F666" s="1" t="e">
        <f>NA()</f>
        <v>#N/A</v>
      </c>
      <c r="G666" s="1" t="e">
        <f>NA()</f>
        <v>#N/A</v>
      </c>
      <c r="H666" s="1">
        <v>137</v>
      </c>
      <c r="I666" s="1" t="e">
        <f>NA()</f>
        <v>#N/A</v>
      </c>
      <c r="J666" s="1" t="e">
        <f>NA()</f>
        <v>#N/A</v>
      </c>
    </row>
    <row r="667" spans="1:10">
      <c r="A667" s="35"/>
      <c r="B667" s="36"/>
      <c r="C667" s="1">
        <v>3</v>
      </c>
      <c r="D667" s="1">
        <v>114</v>
      </c>
      <c r="E667" s="1">
        <v>169</v>
      </c>
      <c r="F667" s="1" t="e">
        <f>NA()</f>
        <v>#N/A</v>
      </c>
      <c r="G667" s="1" t="e">
        <f>NA()</f>
        <v>#N/A</v>
      </c>
      <c r="H667" s="1">
        <v>134</v>
      </c>
      <c r="I667" s="1" t="e">
        <f>NA()</f>
        <v>#N/A</v>
      </c>
      <c r="J667" s="1" t="e">
        <f>NA()</f>
        <v>#N/A</v>
      </c>
    </row>
    <row r="668" spans="1:10">
      <c r="A668" s="35"/>
      <c r="B668" s="36"/>
      <c r="C668" s="1">
        <v>4</v>
      </c>
      <c r="D668" s="1">
        <v>138</v>
      </c>
      <c r="E668" s="1">
        <v>125</v>
      </c>
      <c r="F668" s="1" t="e">
        <f>NA()</f>
        <v>#N/A</v>
      </c>
      <c r="G668" s="1" t="e">
        <f>NA()</f>
        <v>#N/A</v>
      </c>
      <c r="H668" s="1">
        <v>126</v>
      </c>
      <c r="I668" s="1" t="e">
        <f>NA()</f>
        <v>#N/A</v>
      </c>
      <c r="J668" s="1" t="e">
        <f>NA()</f>
        <v>#N/A</v>
      </c>
    </row>
    <row r="669" spans="1:10">
      <c r="A669" s="35"/>
      <c r="B669" s="36"/>
      <c r="C669" s="1">
        <v>5</v>
      </c>
      <c r="D669" s="1">
        <v>105</v>
      </c>
      <c r="E669" s="1">
        <v>139</v>
      </c>
      <c r="F669" s="1" t="e">
        <f>NA()</f>
        <v>#N/A</v>
      </c>
      <c r="G669" s="1" t="e">
        <f>NA()</f>
        <v>#N/A</v>
      </c>
      <c r="H669" s="1">
        <v>115</v>
      </c>
      <c r="I669" s="1" t="e">
        <f>NA()</f>
        <v>#N/A</v>
      </c>
      <c r="J669" s="1" t="e">
        <f>NA()</f>
        <v>#N/A</v>
      </c>
    </row>
    <row r="670" spans="1:10">
      <c r="A670" s="34" t="s">
        <v>127</v>
      </c>
      <c r="B670" s="36">
        <v>46255</v>
      </c>
      <c r="C670" s="1">
        <v>1</v>
      </c>
      <c r="D670" s="1">
        <v>107</v>
      </c>
      <c r="E670" s="1" t="e">
        <f>NA()</f>
        <v>#N/A</v>
      </c>
      <c r="F670" s="1" t="e">
        <f>NA()</f>
        <v>#N/A</v>
      </c>
      <c r="G670" s="1" t="e">
        <f>NA()</f>
        <v>#N/A</v>
      </c>
      <c r="H670" s="1">
        <v>124</v>
      </c>
      <c r="I670" s="1">
        <v>105</v>
      </c>
      <c r="J670" s="1" t="e">
        <f>NA()</f>
        <v>#N/A</v>
      </c>
    </row>
    <row r="671" spans="1:10">
      <c r="A671" s="35"/>
      <c r="B671" s="36"/>
      <c r="C671" s="1">
        <v>2</v>
      </c>
      <c r="D671" s="1">
        <v>134</v>
      </c>
      <c r="E671" s="1" t="e">
        <f>NA()</f>
        <v>#N/A</v>
      </c>
      <c r="F671" s="1" t="e">
        <f>NA()</f>
        <v>#N/A</v>
      </c>
      <c r="G671" s="1" t="e">
        <f>NA()</f>
        <v>#N/A</v>
      </c>
      <c r="H671" s="1">
        <v>126</v>
      </c>
      <c r="I671" s="1">
        <v>142</v>
      </c>
      <c r="J671" s="1" t="e">
        <f>NA()</f>
        <v>#N/A</v>
      </c>
    </row>
    <row r="672" spans="1:10">
      <c r="A672" s="35"/>
      <c r="B672" s="36"/>
      <c r="C672" s="1">
        <v>3</v>
      </c>
      <c r="D672" s="1">
        <v>128</v>
      </c>
      <c r="E672" s="1" t="e">
        <f>NA()</f>
        <v>#N/A</v>
      </c>
      <c r="F672" s="1" t="e">
        <f>NA()</f>
        <v>#N/A</v>
      </c>
      <c r="G672" s="1" t="e">
        <f>NA()</f>
        <v>#N/A</v>
      </c>
      <c r="H672" s="1">
        <v>112</v>
      </c>
      <c r="I672" s="1">
        <v>114</v>
      </c>
      <c r="J672" s="1" t="e">
        <f>NA()</f>
        <v>#N/A</v>
      </c>
    </row>
    <row r="673" spans="1:10">
      <c r="A673" s="35"/>
      <c r="B673" s="36"/>
      <c r="C673" s="1">
        <v>4</v>
      </c>
      <c r="D673" s="1">
        <v>153</v>
      </c>
      <c r="E673" s="1" t="e">
        <f>NA()</f>
        <v>#N/A</v>
      </c>
      <c r="F673" s="1" t="e">
        <f>NA()</f>
        <v>#N/A</v>
      </c>
      <c r="G673" s="1" t="e">
        <f>NA()</f>
        <v>#N/A</v>
      </c>
      <c r="H673" s="1">
        <v>152</v>
      </c>
      <c r="I673" s="1">
        <v>143</v>
      </c>
      <c r="J673" s="1" t="e">
        <f>NA()</f>
        <v>#N/A</v>
      </c>
    </row>
    <row r="674" spans="1:10">
      <c r="A674" s="35"/>
      <c r="B674" s="36"/>
      <c r="C674" s="1">
        <v>5</v>
      </c>
      <c r="D674" s="1">
        <v>161</v>
      </c>
      <c r="E674" s="1" t="e">
        <f>NA()</f>
        <v>#N/A</v>
      </c>
      <c r="F674" s="1" t="e">
        <f>NA()</f>
        <v>#N/A</v>
      </c>
      <c r="G674" s="1" t="e">
        <f>NA()</f>
        <v>#N/A</v>
      </c>
      <c r="H674" s="1">
        <v>126</v>
      </c>
      <c r="I674" s="1">
        <v>86</v>
      </c>
      <c r="J674" s="1" t="e">
        <f>NA()</f>
        <v>#N/A</v>
      </c>
    </row>
    <row r="675" spans="1:10">
      <c r="A675" s="34" t="s">
        <v>129</v>
      </c>
      <c r="B675" s="36">
        <v>46285</v>
      </c>
      <c r="C675" s="1">
        <v>1</v>
      </c>
      <c r="D675" s="1">
        <v>116</v>
      </c>
      <c r="E675" s="1">
        <v>143</v>
      </c>
      <c r="F675" s="1" t="e">
        <f>NA()</f>
        <v>#N/A</v>
      </c>
      <c r="G675" s="1" t="e">
        <f>NA()</f>
        <v>#N/A</v>
      </c>
      <c r="H675" s="1">
        <v>142</v>
      </c>
      <c r="I675" s="1" t="e">
        <f>NA()</f>
        <v>#N/A</v>
      </c>
      <c r="J675" s="1" t="e">
        <f>NA()</f>
        <v>#N/A</v>
      </c>
    </row>
    <row r="676" spans="1:10">
      <c r="A676" s="35"/>
      <c r="B676" s="36"/>
      <c r="C676" s="1">
        <v>2</v>
      </c>
      <c r="D676" s="1">
        <v>139</v>
      </c>
      <c r="E676" s="1">
        <v>148</v>
      </c>
      <c r="F676" s="1" t="e">
        <f>NA()</f>
        <v>#N/A</v>
      </c>
      <c r="G676" s="1" t="e">
        <f>NA()</f>
        <v>#N/A</v>
      </c>
      <c r="H676" s="1">
        <v>152</v>
      </c>
      <c r="I676" s="1" t="e">
        <f>NA()</f>
        <v>#N/A</v>
      </c>
      <c r="J676" s="1" t="e">
        <f>NA()</f>
        <v>#N/A</v>
      </c>
    </row>
    <row r="677" spans="1:10">
      <c r="A677" s="35"/>
      <c r="B677" s="36"/>
      <c r="C677" s="1">
        <v>3</v>
      </c>
      <c r="D677" s="1">
        <v>141</v>
      </c>
      <c r="E677" s="1">
        <v>144</v>
      </c>
      <c r="F677" s="1" t="e">
        <f>NA()</f>
        <v>#N/A</v>
      </c>
      <c r="G677" s="1" t="e">
        <f>NA()</f>
        <v>#N/A</v>
      </c>
      <c r="H677" s="1">
        <v>161</v>
      </c>
      <c r="I677" s="1" t="e">
        <f>NA()</f>
        <v>#N/A</v>
      </c>
      <c r="J677" s="1" t="e">
        <f>NA()</f>
        <v>#N/A</v>
      </c>
    </row>
    <row r="678" spans="1:10">
      <c r="A678" s="35"/>
      <c r="B678" s="36"/>
      <c r="C678" s="1">
        <v>4</v>
      </c>
      <c r="D678" s="1">
        <v>167</v>
      </c>
      <c r="E678" s="1">
        <v>136</v>
      </c>
      <c r="F678" s="1" t="e">
        <f>NA()</f>
        <v>#N/A</v>
      </c>
      <c r="G678" s="1" t="e">
        <f>NA()</f>
        <v>#N/A</v>
      </c>
      <c r="H678" s="1">
        <v>118</v>
      </c>
      <c r="I678" s="1" t="e">
        <f>NA()</f>
        <v>#N/A</v>
      </c>
      <c r="J678" s="1" t="e">
        <f>NA()</f>
        <v>#N/A</v>
      </c>
    </row>
    <row r="679" spans="1:10">
      <c r="A679" s="35"/>
      <c r="B679" s="36"/>
      <c r="C679" s="1">
        <v>5</v>
      </c>
      <c r="D679" s="1">
        <v>90</v>
      </c>
      <c r="E679" s="1">
        <v>121</v>
      </c>
      <c r="F679" s="1" t="e">
        <f>NA()</f>
        <v>#N/A</v>
      </c>
      <c r="G679" s="1" t="e">
        <f>NA()</f>
        <v>#N/A</v>
      </c>
      <c r="H679" s="1">
        <v>174</v>
      </c>
      <c r="I679" s="1" t="e">
        <f>NA()</f>
        <v>#N/A</v>
      </c>
      <c r="J679" s="1" t="e">
        <f>NA()</f>
        <v>#N/A</v>
      </c>
    </row>
    <row r="680" spans="1:10">
      <c r="A680" s="34" t="s">
        <v>131</v>
      </c>
      <c r="B680" s="36">
        <v>46293</v>
      </c>
      <c r="C680" s="1">
        <v>1</v>
      </c>
      <c r="D680" s="1">
        <v>148</v>
      </c>
      <c r="E680" s="1" t="e">
        <f>NA()</f>
        <v>#N/A</v>
      </c>
      <c r="F680" s="1" t="e">
        <f>NA()</f>
        <v>#N/A</v>
      </c>
      <c r="G680" s="1" t="e">
        <f>NA()</f>
        <v>#N/A</v>
      </c>
      <c r="H680" s="1">
        <v>135</v>
      </c>
      <c r="I680" s="1">
        <v>84</v>
      </c>
      <c r="J680" s="1" t="e">
        <f>NA()</f>
        <v>#N/A</v>
      </c>
    </row>
    <row r="681" spans="1:10">
      <c r="A681" s="35"/>
      <c r="B681" s="36"/>
      <c r="C681" s="1">
        <v>2</v>
      </c>
      <c r="D681" s="1">
        <v>124</v>
      </c>
      <c r="E681" s="1" t="e">
        <f>NA()</f>
        <v>#N/A</v>
      </c>
      <c r="F681" s="1" t="e">
        <f>NA()</f>
        <v>#N/A</v>
      </c>
      <c r="G681" s="1" t="e">
        <f>NA()</f>
        <v>#N/A</v>
      </c>
      <c r="H681" s="1">
        <v>111</v>
      </c>
      <c r="I681" s="1">
        <v>126</v>
      </c>
      <c r="J681" s="1" t="e">
        <f>NA()</f>
        <v>#N/A</v>
      </c>
    </row>
    <row r="682" spans="1:10">
      <c r="A682" s="35"/>
      <c r="B682" s="36"/>
      <c r="C682" s="1">
        <v>3</v>
      </c>
      <c r="D682" s="1">
        <v>145</v>
      </c>
      <c r="E682" s="1" t="e">
        <f>NA()</f>
        <v>#N/A</v>
      </c>
      <c r="F682" s="1" t="e">
        <f>NA()</f>
        <v>#N/A</v>
      </c>
      <c r="G682" s="1" t="e">
        <f>NA()</f>
        <v>#N/A</v>
      </c>
      <c r="H682" s="1">
        <v>160</v>
      </c>
      <c r="I682" s="1">
        <v>149</v>
      </c>
      <c r="J682" s="1" t="e">
        <f>NA()</f>
        <v>#N/A</v>
      </c>
    </row>
    <row r="683" spans="1:10">
      <c r="A683" s="35"/>
      <c r="B683" s="36"/>
      <c r="C683" s="1">
        <v>4</v>
      </c>
      <c r="D683" s="1">
        <v>136</v>
      </c>
      <c r="E683" s="1" t="e">
        <f>NA()</f>
        <v>#N/A</v>
      </c>
      <c r="F683" s="1" t="e">
        <f>NA()</f>
        <v>#N/A</v>
      </c>
      <c r="G683" s="1" t="e">
        <f>NA()</f>
        <v>#N/A</v>
      </c>
      <c r="H683" s="1">
        <v>128</v>
      </c>
      <c r="I683" s="1">
        <v>93</v>
      </c>
      <c r="J683" s="1" t="e">
        <f>NA()</f>
        <v>#N/A</v>
      </c>
    </row>
    <row r="684" spans="1:10">
      <c r="A684" s="35"/>
      <c r="B684" s="36"/>
      <c r="C684" s="1">
        <v>5</v>
      </c>
      <c r="D684" s="1">
        <v>130</v>
      </c>
      <c r="E684" s="1" t="e">
        <f>NA()</f>
        <v>#N/A</v>
      </c>
      <c r="F684" s="1" t="e">
        <f>NA()</f>
        <v>#N/A</v>
      </c>
      <c r="G684" s="1" t="e">
        <f>NA()</f>
        <v>#N/A</v>
      </c>
      <c r="H684" s="1">
        <v>133</v>
      </c>
      <c r="I684" s="1">
        <v>118</v>
      </c>
      <c r="J684" s="1" t="e">
        <f>NA()</f>
        <v>#N/A</v>
      </c>
    </row>
    <row r="685" spans="1:10">
      <c r="A685" s="34" t="s">
        <v>132</v>
      </c>
      <c r="B685" s="36">
        <v>46303</v>
      </c>
      <c r="C685" s="1">
        <v>1</v>
      </c>
      <c r="D685" s="1">
        <v>178</v>
      </c>
      <c r="E685" s="1">
        <v>160</v>
      </c>
      <c r="F685" s="1" t="e">
        <f>NA()</f>
        <v>#N/A</v>
      </c>
      <c r="G685" s="1" t="e">
        <f>NA()</f>
        <v>#N/A</v>
      </c>
      <c r="H685" s="1">
        <v>121</v>
      </c>
      <c r="I685" s="1">
        <v>119</v>
      </c>
      <c r="J685" s="1" t="e">
        <f>NA()</f>
        <v>#N/A</v>
      </c>
    </row>
    <row r="686" spans="1:10">
      <c r="A686" s="35"/>
      <c r="B686" s="36"/>
      <c r="C686" s="1">
        <v>2</v>
      </c>
      <c r="D686" s="1">
        <v>156</v>
      </c>
      <c r="E686" s="1">
        <v>155</v>
      </c>
      <c r="F686" s="1" t="e">
        <f>NA()</f>
        <v>#N/A</v>
      </c>
      <c r="G686" s="1" t="e">
        <f>NA()</f>
        <v>#N/A</v>
      </c>
      <c r="H686" s="1">
        <v>146</v>
      </c>
      <c r="I686" s="1">
        <v>105</v>
      </c>
      <c r="J686" s="1" t="e">
        <f>NA()</f>
        <v>#N/A</v>
      </c>
    </row>
    <row r="687" spans="1:10">
      <c r="A687" s="35"/>
      <c r="B687" s="36"/>
      <c r="C687" s="1">
        <v>3</v>
      </c>
      <c r="D687" s="1">
        <v>145</v>
      </c>
      <c r="E687" s="1">
        <v>142</v>
      </c>
      <c r="F687" s="1" t="e">
        <f>NA()</f>
        <v>#N/A</v>
      </c>
      <c r="G687" s="1" t="e">
        <f>NA()</f>
        <v>#N/A</v>
      </c>
      <c r="H687" s="1">
        <v>124</v>
      </c>
      <c r="I687" s="1">
        <v>171</v>
      </c>
      <c r="J687" s="1" t="e">
        <f>NA()</f>
        <v>#N/A</v>
      </c>
    </row>
    <row r="688" spans="1:10">
      <c r="A688" s="35"/>
      <c r="B688" s="36"/>
      <c r="C688" s="1">
        <v>4</v>
      </c>
      <c r="D688" s="1">
        <v>152</v>
      </c>
      <c r="E688" s="1">
        <v>143</v>
      </c>
      <c r="F688" s="1" t="e">
        <f>NA()</f>
        <v>#N/A</v>
      </c>
      <c r="G688" s="1" t="e">
        <f>NA()</f>
        <v>#N/A</v>
      </c>
      <c r="H688" s="1">
        <v>135</v>
      </c>
      <c r="I688" s="1">
        <v>127</v>
      </c>
      <c r="J688" s="1" t="e">
        <f>NA()</f>
        <v>#N/A</v>
      </c>
    </row>
    <row r="689" spans="1:10">
      <c r="A689" s="35"/>
      <c r="B689" s="36"/>
      <c r="C689" s="1">
        <v>5</v>
      </c>
      <c r="D689" s="1">
        <v>131</v>
      </c>
      <c r="E689" s="1">
        <v>127</v>
      </c>
      <c r="F689" s="1" t="e">
        <f>NA()</f>
        <v>#N/A</v>
      </c>
      <c r="G689" s="1" t="e">
        <f>NA()</f>
        <v>#N/A</v>
      </c>
      <c r="H689" s="1">
        <v>114</v>
      </c>
      <c r="I689" s="1">
        <v>120</v>
      </c>
      <c r="J689" s="1" t="e">
        <f>NA()</f>
        <v>#N/A</v>
      </c>
    </row>
  </sheetData>
  <mergeCells count="274">
    <mergeCell ref="A675:A679"/>
    <mergeCell ref="B675:B679"/>
    <mergeCell ref="A680:A684"/>
    <mergeCell ref="B680:B684"/>
    <mergeCell ref="A685:A689"/>
    <mergeCell ref="B685:B689"/>
    <mergeCell ref="A655:A659"/>
    <mergeCell ref="B655:B659"/>
    <mergeCell ref="A600:A604"/>
    <mergeCell ref="B600:B604"/>
    <mergeCell ref="A605:A609"/>
    <mergeCell ref="B605:B609"/>
    <mergeCell ref="A550:A554"/>
    <mergeCell ref="B550:B554"/>
    <mergeCell ref="A555:A559"/>
    <mergeCell ref="B555:B559"/>
    <mergeCell ref="A560:A564"/>
    <mergeCell ref="B560:B564"/>
    <mergeCell ref="A565:A569"/>
    <mergeCell ref="B565:B569"/>
    <mergeCell ref="A570:A574"/>
    <mergeCell ref="B570:B574"/>
    <mergeCell ref="A178:A183"/>
    <mergeCell ref="B178:B183"/>
    <mergeCell ref="A204:A209"/>
    <mergeCell ref="B204:B209"/>
    <mergeCell ref="A184:A188"/>
    <mergeCell ref="B184:B188"/>
    <mergeCell ref="A210:A214"/>
    <mergeCell ref="B210:B214"/>
    <mergeCell ref="A370:A374"/>
    <mergeCell ref="B370:B374"/>
    <mergeCell ref="A194:A198"/>
    <mergeCell ref="B194:B198"/>
    <mergeCell ref="A199:A203"/>
    <mergeCell ref="B199:B203"/>
    <mergeCell ref="A350:A354"/>
    <mergeCell ref="B350:B354"/>
    <mergeCell ref="A345:A349"/>
    <mergeCell ref="B345:B349"/>
    <mergeCell ref="A272:A276"/>
    <mergeCell ref="B272:B276"/>
    <mergeCell ref="A277:A280"/>
    <mergeCell ref="B277:B280"/>
    <mergeCell ref="A230:A234"/>
    <mergeCell ref="B230:B234"/>
    <mergeCell ref="A235:A239"/>
    <mergeCell ref="B235:B239"/>
    <mergeCell ref="A240:A244"/>
    <mergeCell ref="B240:B244"/>
    <mergeCell ref="A262:A266"/>
    <mergeCell ref="B262:B266"/>
    <mergeCell ref="A267:A271"/>
    <mergeCell ref="B267:B271"/>
    <mergeCell ref="A245:A250"/>
    <mergeCell ref="B245:B250"/>
    <mergeCell ref="A251:A255"/>
    <mergeCell ref="B251:B255"/>
    <mergeCell ref="A256:A261"/>
    <mergeCell ref="B256:B261"/>
    <mergeCell ref="B33:B38"/>
    <mergeCell ref="A50:A55"/>
    <mergeCell ref="A189:A193"/>
    <mergeCell ref="B189:B193"/>
    <mergeCell ref="A215:A219"/>
    <mergeCell ref="B215:B219"/>
    <mergeCell ref="A124:A128"/>
    <mergeCell ref="B124:B128"/>
    <mergeCell ref="A163:A167"/>
    <mergeCell ref="B163:B167"/>
    <mergeCell ref="A134:A138"/>
    <mergeCell ref="B134:B138"/>
    <mergeCell ref="A139:A140"/>
    <mergeCell ref="B139:B140"/>
    <mergeCell ref="A141:A145"/>
    <mergeCell ref="B141:B145"/>
    <mergeCell ref="A158:A162"/>
    <mergeCell ref="B158:B162"/>
    <mergeCell ref="A152:A157"/>
    <mergeCell ref="B152:B157"/>
    <mergeCell ref="A173:A177"/>
    <mergeCell ref="B173:B177"/>
    <mergeCell ref="A146:A151"/>
    <mergeCell ref="B146:B151"/>
    <mergeCell ref="A14:A18"/>
    <mergeCell ref="A19:A24"/>
    <mergeCell ref="A76:A81"/>
    <mergeCell ref="B76:B81"/>
    <mergeCell ref="A44:A49"/>
    <mergeCell ref="B44:B49"/>
    <mergeCell ref="B25:B29"/>
    <mergeCell ref="A30:A32"/>
    <mergeCell ref="B19:B24"/>
    <mergeCell ref="B14:B18"/>
    <mergeCell ref="A25:A29"/>
    <mergeCell ref="B50:B55"/>
    <mergeCell ref="A66:A70"/>
    <mergeCell ref="B66:B70"/>
    <mergeCell ref="A71:A75"/>
    <mergeCell ref="B71:B75"/>
    <mergeCell ref="A56:A60"/>
    <mergeCell ref="B56:B60"/>
    <mergeCell ref="A61:A65"/>
    <mergeCell ref="B61:B65"/>
    <mergeCell ref="B30:B32"/>
    <mergeCell ref="A39:A43"/>
    <mergeCell ref="B39:B43"/>
    <mergeCell ref="A33:A38"/>
    <mergeCell ref="C1:C2"/>
    <mergeCell ref="D1:F1"/>
    <mergeCell ref="A3:A5"/>
    <mergeCell ref="B3:B5"/>
    <mergeCell ref="A6:A10"/>
    <mergeCell ref="B6:B10"/>
    <mergeCell ref="A1:A2"/>
    <mergeCell ref="B1:B2"/>
    <mergeCell ref="A11:A13"/>
    <mergeCell ref="B11:B13"/>
    <mergeCell ref="A82:A86"/>
    <mergeCell ref="B82:B86"/>
    <mergeCell ref="A112:A116"/>
    <mergeCell ref="B112:B116"/>
    <mergeCell ref="A87:A91"/>
    <mergeCell ref="B87:B91"/>
    <mergeCell ref="A92:A97"/>
    <mergeCell ref="B92:B97"/>
    <mergeCell ref="A98:A100"/>
    <mergeCell ref="B98:B100"/>
    <mergeCell ref="A106:A111"/>
    <mergeCell ref="B106:B111"/>
    <mergeCell ref="A101:A105"/>
    <mergeCell ref="B101:B105"/>
    <mergeCell ref="A365:A369"/>
    <mergeCell ref="B365:B369"/>
    <mergeCell ref="A400:A404"/>
    <mergeCell ref="B400:B404"/>
    <mergeCell ref="A390:A394"/>
    <mergeCell ref="B390:B394"/>
    <mergeCell ref="A117:A123"/>
    <mergeCell ref="B117:B123"/>
    <mergeCell ref="A129:A133"/>
    <mergeCell ref="B129:B133"/>
    <mergeCell ref="A168:A172"/>
    <mergeCell ref="B168:B172"/>
    <mergeCell ref="A322:A326"/>
    <mergeCell ref="B322:B326"/>
    <mergeCell ref="A355:A359"/>
    <mergeCell ref="B355:B359"/>
    <mergeCell ref="A337:A344"/>
    <mergeCell ref="B337:B344"/>
    <mergeCell ref="A317:A321"/>
    <mergeCell ref="B317:B321"/>
    <mergeCell ref="A220:A224"/>
    <mergeCell ref="B220:B224"/>
    <mergeCell ref="A225:A229"/>
    <mergeCell ref="B225:B229"/>
    <mergeCell ref="A281:A284"/>
    <mergeCell ref="B281:B284"/>
    <mergeCell ref="A360:A364"/>
    <mergeCell ref="B360:B364"/>
    <mergeCell ref="A285:A291"/>
    <mergeCell ref="B285:B291"/>
    <mergeCell ref="A292:A298"/>
    <mergeCell ref="B292:B298"/>
    <mergeCell ref="A299:A303"/>
    <mergeCell ref="B299:B303"/>
    <mergeCell ref="A327:A331"/>
    <mergeCell ref="B327:B331"/>
    <mergeCell ref="A332:A336"/>
    <mergeCell ref="B332:B336"/>
    <mergeCell ref="A304:A309"/>
    <mergeCell ref="B304:B309"/>
    <mergeCell ref="A310:A316"/>
    <mergeCell ref="B310:B316"/>
    <mergeCell ref="A375:A379"/>
    <mergeCell ref="B375:B379"/>
    <mergeCell ref="A380:A384"/>
    <mergeCell ref="B380:B384"/>
    <mergeCell ref="A385:A389"/>
    <mergeCell ref="B385:B389"/>
    <mergeCell ref="A425:A429"/>
    <mergeCell ref="B425:B429"/>
    <mergeCell ref="A430:A434"/>
    <mergeCell ref="B430:B434"/>
    <mergeCell ref="A405:A409"/>
    <mergeCell ref="B405:B409"/>
    <mergeCell ref="A395:A399"/>
    <mergeCell ref="B395:B399"/>
    <mergeCell ref="A465:A469"/>
    <mergeCell ref="B465:B469"/>
    <mergeCell ref="A470:A474"/>
    <mergeCell ref="B470:B474"/>
    <mergeCell ref="A410:A414"/>
    <mergeCell ref="B410:B414"/>
    <mergeCell ref="A415:A419"/>
    <mergeCell ref="B415:B419"/>
    <mergeCell ref="A420:A424"/>
    <mergeCell ref="B420:B424"/>
    <mergeCell ref="A445:A449"/>
    <mergeCell ref="B445:B449"/>
    <mergeCell ref="A450:A454"/>
    <mergeCell ref="B450:B454"/>
    <mergeCell ref="A435:A439"/>
    <mergeCell ref="B435:B439"/>
    <mergeCell ref="A440:A444"/>
    <mergeCell ref="B440:B444"/>
    <mergeCell ref="A455:A459"/>
    <mergeCell ref="B455:B459"/>
    <mergeCell ref="A460:A464"/>
    <mergeCell ref="B460:B464"/>
    <mergeCell ref="A615:A619"/>
    <mergeCell ref="B615:B619"/>
    <mergeCell ref="A620:A624"/>
    <mergeCell ref="B620:B624"/>
    <mergeCell ref="A625:A629"/>
    <mergeCell ref="B625:B629"/>
    <mergeCell ref="A505:A509"/>
    <mergeCell ref="B505:B509"/>
    <mergeCell ref="A510:A514"/>
    <mergeCell ref="B510:B514"/>
    <mergeCell ref="A540:A544"/>
    <mergeCell ref="B540:B544"/>
    <mergeCell ref="A545:A549"/>
    <mergeCell ref="B545:B549"/>
    <mergeCell ref="A515:A519"/>
    <mergeCell ref="B515:B519"/>
    <mergeCell ref="A520:A524"/>
    <mergeCell ref="B520:B524"/>
    <mergeCell ref="A525:A529"/>
    <mergeCell ref="B525:B529"/>
    <mergeCell ref="A535:A539"/>
    <mergeCell ref="B535:B539"/>
    <mergeCell ref="A590:A594"/>
    <mergeCell ref="B590:B594"/>
    <mergeCell ref="A595:A599"/>
    <mergeCell ref="B595:B599"/>
    <mergeCell ref="A475:A479"/>
    <mergeCell ref="B475:B479"/>
    <mergeCell ref="A610:A614"/>
    <mergeCell ref="B610:B614"/>
    <mergeCell ref="A490:A494"/>
    <mergeCell ref="B490:B494"/>
    <mergeCell ref="A495:A499"/>
    <mergeCell ref="B495:B499"/>
    <mergeCell ref="A500:A504"/>
    <mergeCell ref="B500:B504"/>
    <mergeCell ref="A480:A484"/>
    <mergeCell ref="B480:B484"/>
    <mergeCell ref="A485:A489"/>
    <mergeCell ref="B485:B489"/>
    <mergeCell ref="A660:A664"/>
    <mergeCell ref="B660:B664"/>
    <mergeCell ref="A665:A669"/>
    <mergeCell ref="B665:B669"/>
    <mergeCell ref="A670:A674"/>
    <mergeCell ref="B670:B674"/>
    <mergeCell ref="A530:A534"/>
    <mergeCell ref="B530:B534"/>
    <mergeCell ref="A635:A639"/>
    <mergeCell ref="B635:B639"/>
    <mergeCell ref="A640:A644"/>
    <mergeCell ref="B640:B644"/>
    <mergeCell ref="A645:A649"/>
    <mergeCell ref="B645:B649"/>
    <mergeCell ref="A650:A654"/>
    <mergeCell ref="B650:B654"/>
    <mergeCell ref="A575:A579"/>
    <mergeCell ref="B575:B579"/>
    <mergeCell ref="A580:A584"/>
    <mergeCell ref="B580:B584"/>
    <mergeCell ref="A585:A589"/>
    <mergeCell ref="B585:B589"/>
    <mergeCell ref="A630:A634"/>
    <mergeCell ref="B630:B634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AA5D4-4821-4286-AD32-564FC5BD2AA2}">
  <dimension ref="A2:V16"/>
  <sheetViews>
    <sheetView workbookViewId="0">
      <selection activeCell="E19" sqref="E19"/>
    </sheetView>
  </sheetViews>
  <sheetFormatPr defaultRowHeight="16.5"/>
  <cols>
    <col min="1" max="1" width="20.125" bestFit="1" customWidth="1"/>
    <col min="2" max="2" width="9.625" bestFit="1" customWidth="1"/>
  </cols>
  <sheetData>
    <row r="2" spans="1:22" ht="17.25" thickBot="1"/>
    <row r="3" spans="1:22">
      <c r="B3" s="74">
        <v>1</v>
      </c>
      <c r="C3" s="72"/>
      <c r="D3" s="72">
        <v>2</v>
      </c>
      <c r="E3" s="72"/>
      <c r="F3" s="72">
        <v>3</v>
      </c>
      <c r="G3" s="72"/>
      <c r="H3" s="72">
        <v>4</v>
      </c>
      <c r="I3" s="72"/>
      <c r="J3" s="72">
        <v>5</v>
      </c>
      <c r="K3" s="72"/>
      <c r="L3" s="72">
        <v>6</v>
      </c>
      <c r="M3" s="72"/>
      <c r="N3" s="72">
        <v>7</v>
      </c>
      <c r="O3" s="72"/>
      <c r="P3" s="72">
        <v>8</v>
      </c>
      <c r="Q3" s="72"/>
      <c r="R3" s="72">
        <v>9</v>
      </c>
      <c r="S3" s="72"/>
      <c r="T3" s="72">
        <v>10</v>
      </c>
      <c r="U3" s="72"/>
      <c r="V3" s="73"/>
    </row>
    <row r="4" spans="1:22" ht="17.25" thickBot="1">
      <c r="B4" s="14">
        <v>10</v>
      </c>
      <c r="C4" s="15">
        <v>0</v>
      </c>
      <c r="D4" s="15">
        <v>10</v>
      </c>
      <c r="E4" s="15">
        <v>0</v>
      </c>
      <c r="F4" s="15">
        <v>10</v>
      </c>
      <c r="G4" s="15">
        <v>0</v>
      </c>
      <c r="H4" s="15">
        <v>3</v>
      </c>
      <c r="I4" s="15">
        <v>7</v>
      </c>
      <c r="J4" s="15">
        <v>10</v>
      </c>
      <c r="K4" s="15">
        <v>0</v>
      </c>
      <c r="L4" s="15">
        <v>8</v>
      </c>
      <c r="M4" s="15">
        <v>1</v>
      </c>
      <c r="N4" s="15">
        <v>7</v>
      </c>
      <c r="O4" s="15">
        <v>3</v>
      </c>
      <c r="P4" s="15">
        <v>9</v>
      </c>
      <c r="Q4" s="15">
        <v>0</v>
      </c>
      <c r="R4" s="15">
        <v>9</v>
      </c>
      <c r="S4" s="15">
        <v>1</v>
      </c>
      <c r="T4" s="15">
        <v>6</v>
      </c>
      <c r="U4" s="15">
        <v>3</v>
      </c>
      <c r="V4" s="16">
        <v>0</v>
      </c>
    </row>
    <row r="5" spans="1:22">
      <c r="B5" s="65">
        <f>B4+C4</f>
        <v>10</v>
      </c>
      <c r="C5" s="65"/>
      <c r="D5" s="65">
        <f t="shared" ref="D5" si="0">D4+E4</f>
        <v>10</v>
      </c>
      <c r="E5" s="65"/>
      <c r="F5" s="65">
        <f t="shared" ref="F5" si="1">F4+G4</f>
        <v>10</v>
      </c>
      <c r="G5" s="65"/>
      <c r="H5" s="65">
        <f t="shared" ref="H5" si="2">H4+I4</f>
        <v>10</v>
      </c>
      <c r="I5" s="65"/>
      <c r="J5" s="65">
        <f t="shared" ref="J5" si="3">J4+K4</f>
        <v>10</v>
      </c>
      <c r="K5" s="65"/>
      <c r="L5" s="65">
        <f t="shared" ref="L5" si="4">L4+M4</f>
        <v>9</v>
      </c>
      <c r="M5" s="65"/>
      <c r="N5" s="65">
        <f t="shared" ref="N5" si="5">N4+O4</f>
        <v>10</v>
      </c>
      <c r="O5" s="65"/>
      <c r="P5" s="65">
        <f t="shared" ref="P5" si="6">P4+Q4</f>
        <v>9</v>
      </c>
      <c r="Q5" s="65"/>
      <c r="R5" s="65">
        <f t="shared" ref="R5" si="7">R4+S4</f>
        <v>10</v>
      </c>
      <c r="S5" s="65"/>
      <c r="T5" s="65">
        <f>T4+U4+V4</f>
        <v>9</v>
      </c>
      <c r="U5" s="65"/>
      <c r="V5" s="65"/>
    </row>
    <row r="6" spans="1:22">
      <c r="A6" t="s">
        <v>15</v>
      </c>
      <c r="B6" s="71">
        <f>B5</f>
        <v>10</v>
      </c>
      <c r="C6" s="71"/>
      <c r="D6" s="71">
        <f>B6+D5</f>
        <v>20</v>
      </c>
      <c r="E6" s="71"/>
      <c r="F6" s="71">
        <f t="shared" ref="F6" si="8">D6+F5</f>
        <v>30</v>
      </c>
      <c r="G6" s="71"/>
      <c r="H6" s="71">
        <f t="shared" ref="H6" si="9">F6+H5</f>
        <v>40</v>
      </c>
      <c r="I6" s="71"/>
      <c r="J6" s="71">
        <f t="shared" ref="J6" si="10">H6+J5</f>
        <v>50</v>
      </c>
      <c r="K6" s="71"/>
      <c r="L6" s="71">
        <f t="shared" ref="L6" si="11">J6+L5</f>
        <v>59</v>
      </c>
      <c r="M6" s="71"/>
      <c r="N6" s="71">
        <f t="shared" ref="N6" si="12">L6+N5</f>
        <v>69</v>
      </c>
      <c r="O6" s="71"/>
      <c r="P6" s="71">
        <f t="shared" ref="P6" si="13">N6+P5</f>
        <v>78</v>
      </c>
      <c r="Q6" s="71"/>
      <c r="R6" s="71">
        <f t="shared" ref="R6" si="14">P6+R5</f>
        <v>88</v>
      </c>
      <c r="S6" s="71"/>
      <c r="T6" s="71">
        <f t="shared" ref="T6" si="15">R6+T5</f>
        <v>97</v>
      </c>
      <c r="U6" s="71"/>
      <c r="V6" s="71"/>
    </row>
    <row r="7" spans="1:22">
      <c r="A7" t="s">
        <v>16</v>
      </c>
      <c r="B7" s="66">
        <f>B4+D4+F4</f>
        <v>30</v>
      </c>
      <c r="C7" s="66"/>
      <c r="D7" s="66">
        <f>B7+D4+F4+H4</f>
        <v>53</v>
      </c>
      <c r="E7" s="66"/>
      <c r="F7" s="66">
        <f t="shared" ref="F7" si="16">D7+F4+H4+J4</f>
        <v>76</v>
      </c>
      <c r="G7" s="66"/>
      <c r="H7" s="66">
        <f t="shared" ref="H7" si="17">F7+H4+J4+L4</f>
        <v>97</v>
      </c>
      <c r="I7" s="66"/>
      <c r="J7" s="66">
        <f t="shared" ref="J7" si="18">H7+J4+L4+N4</f>
        <v>122</v>
      </c>
      <c r="K7" s="66"/>
      <c r="L7" s="66">
        <f t="shared" ref="L7" si="19">J7+L4+N4+P4</f>
        <v>146</v>
      </c>
      <c r="M7" s="66"/>
      <c r="N7" s="66">
        <f t="shared" ref="N7" si="20">L7+N4+P4+R4</f>
        <v>171</v>
      </c>
      <c r="O7" s="66"/>
      <c r="P7" s="66">
        <f t="shared" ref="P7" si="21">N7+P4+R4+T4</f>
        <v>195</v>
      </c>
      <c r="Q7" s="66"/>
      <c r="R7" s="66">
        <f>P7+R4+T4+U4</f>
        <v>213</v>
      </c>
      <c r="S7" s="66"/>
      <c r="T7" s="66">
        <f>R7+T4+U4+V4</f>
        <v>222</v>
      </c>
      <c r="U7" s="66"/>
      <c r="V7" s="66"/>
    </row>
    <row r="8" spans="1:22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4" spans="1:22">
      <c r="A14" s="6" t="s">
        <v>12</v>
      </c>
      <c r="B14" s="70">
        <v>1</v>
      </c>
      <c r="C14" s="67"/>
      <c r="D14" s="67">
        <v>2</v>
      </c>
      <c r="E14" s="67"/>
      <c r="F14" s="67">
        <v>3</v>
      </c>
      <c r="G14" s="67"/>
      <c r="H14" s="67">
        <v>4</v>
      </c>
      <c r="I14" s="67"/>
      <c r="J14" s="67">
        <v>5</v>
      </c>
      <c r="K14" s="67"/>
      <c r="L14" s="67">
        <v>6</v>
      </c>
      <c r="M14" s="67"/>
      <c r="N14" s="67">
        <v>7</v>
      </c>
      <c r="O14" s="67"/>
      <c r="P14" s="67">
        <v>8</v>
      </c>
      <c r="Q14" s="67"/>
      <c r="R14" s="67">
        <v>9</v>
      </c>
      <c r="S14" s="67"/>
      <c r="T14" s="67">
        <v>10</v>
      </c>
      <c r="U14" s="67"/>
      <c r="V14" s="67"/>
    </row>
    <row r="15" spans="1:22">
      <c r="A15" s="6" t="s">
        <v>13</v>
      </c>
      <c r="B15" s="11" t="str">
        <f>IF(B4=10,"X",B4)</f>
        <v>X</v>
      </c>
      <c r="C15" s="12" t="str">
        <f>IF(B4=10,"-",IF((B4+C4=10),"/",C4))</f>
        <v>-</v>
      </c>
      <c r="D15" s="11" t="str">
        <f t="shared" ref="D15" si="22">IF(D4=10,"X",D4)</f>
        <v>X</v>
      </c>
      <c r="E15" s="12" t="str">
        <f t="shared" ref="E15" si="23">IF(D4=10,"-",IF((D4+E4=10),"/",E4))</f>
        <v>-</v>
      </c>
      <c r="F15" s="11" t="str">
        <f t="shared" ref="F15" si="24">IF(F4=10,"X",F4)</f>
        <v>X</v>
      </c>
      <c r="G15" s="12" t="str">
        <f t="shared" ref="G15" si="25">IF(F4=10,"-",IF((F4+G4=10),"/",G4))</f>
        <v>-</v>
      </c>
      <c r="H15" s="11">
        <f t="shared" ref="H15" si="26">IF(H4=10,"X",H4)</f>
        <v>3</v>
      </c>
      <c r="I15" s="12" t="str">
        <f t="shared" ref="I15" si="27">IF(H4=10,"-",IF((H4+I4=10),"/",I4))</f>
        <v>/</v>
      </c>
      <c r="J15" s="11" t="str">
        <f t="shared" ref="J15" si="28">IF(J4=10,"X",J4)</f>
        <v>X</v>
      </c>
      <c r="K15" s="12" t="str">
        <f t="shared" ref="K15" si="29">IF(J4=10,"-",IF((J4+K4=10),"/",K4))</f>
        <v>-</v>
      </c>
      <c r="L15" s="11">
        <f t="shared" ref="L15" si="30">IF(L4=10,"X",L4)</f>
        <v>8</v>
      </c>
      <c r="M15" s="12">
        <f t="shared" ref="M15" si="31">IF(L4=10,"-",IF((L4+M4=10),"/",M4))</f>
        <v>1</v>
      </c>
      <c r="N15" s="11">
        <f t="shared" ref="N15" si="32">IF(N4=10,"X",N4)</f>
        <v>7</v>
      </c>
      <c r="O15" s="12" t="str">
        <f t="shared" ref="O15" si="33">IF(N4=10,"-",IF((N4+O4=10),"/",O4))</f>
        <v>/</v>
      </c>
      <c r="P15" s="11">
        <f t="shared" ref="P15" si="34">IF(P4=10,"X",P4)</f>
        <v>9</v>
      </c>
      <c r="Q15" s="12">
        <f t="shared" ref="Q15" si="35">IF(P4=10,"-",IF((P4+Q4=10),"/",Q4))</f>
        <v>0</v>
      </c>
      <c r="R15" s="11">
        <f t="shared" ref="R15:T15" si="36">IF(R4=10,"X",R4)</f>
        <v>9</v>
      </c>
      <c r="S15" s="12" t="str">
        <f t="shared" ref="S15" si="37">IF(R4=10,"-",IF((R4+S4=10),"/",S4))</f>
        <v>/</v>
      </c>
      <c r="T15" s="11">
        <f t="shared" si="36"/>
        <v>6</v>
      </c>
      <c r="U15" s="12">
        <f>IF(T4=10,  IF(U4=10,"X",U4),IF((T4+U4=10),"/",U4))</f>
        <v>3</v>
      </c>
      <c r="V15" s="12">
        <f>IF(U4=10,               IF(V4=10,"X",V4),IF((U4+V4=10),"/",V4))</f>
        <v>0</v>
      </c>
    </row>
    <row r="16" spans="1:22">
      <c r="A16" s="6" t="s">
        <v>14</v>
      </c>
      <c r="B16" s="67">
        <f>IF(B4=10,          IF(D4=10,(B5+D4+F4),     (B5+D5)        ),             IF((B4+C4=10),(B4+C4+D4),B6)            )</f>
        <v>30</v>
      </c>
      <c r="C16" s="67"/>
      <c r="D16" s="67">
        <f>IF(D4=10,          IF(F4=10,(B16+D4+F4+H4),     (B16+D5+F5)        ),             IF((D4+E4=10),(B16+D4+E4+F4),(D6))            )</f>
        <v>53</v>
      </c>
      <c r="E16" s="67"/>
      <c r="F16" s="67">
        <f>IF(F4=10,          IF(H4=10,(D16+F4+H4+J4),     (D16+F5+H5)        ),             IF((F4+G4=10),(D16+F4+G4+H4),(D16+F5))            )</f>
        <v>73</v>
      </c>
      <c r="G16" s="67"/>
      <c r="H16" s="67">
        <f t="shared" ref="H16" si="38">IF(H4=10,          IF(J4=10,(F16+H4+J4+L4),     (F16+H5+J5)        ),             IF((H4+I4=10),(F16+H4+I4+J4),(F16+H5))            )</f>
        <v>93</v>
      </c>
      <c r="I16" s="67"/>
      <c r="J16" s="67">
        <f t="shared" ref="J16" si="39">IF(J4=10,          IF(L4=10,(H16+J4+L4+N4),     (H16+J5+L5)        ),             IF((J4+K4=10),(H16+J4+K4+L4),(H16+J5))            )</f>
        <v>112</v>
      </c>
      <c r="K16" s="67"/>
      <c r="L16" s="67">
        <f t="shared" ref="L16" si="40">IF(L4=10,          IF(N4=10,(J16+L4+N4+P4),     (J16+L5+N5)        ),             IF((L4+M4=10),(J16+L4+M4+N4),(J16+L5))            )</f>
        <v>121</v>
      </c>
      <c r="M16" s="67"/>
      <c r="N16" s="67">
        <f t="shared" ref="N16" si="41">IF(N4=10,          IF(P4=10,(L16+N4+P4+R4),     (L16+N5+P5)        ),             IF((N4+O4=10),(L16+N4+O4+P4),(L16+N5))            )</f>
        <v>140</v>
      </c>
      <c r="O16" s="67"/>
      <c r="P16" s="67">
        <f t="shared" ref="P16" si="42">IF(P4=10,          IF(R4=10,(N16+P4+R4+T4),     (N16+P5+R5)        ),             IF((P4+Q4=10),(N16+P4+Q4+R4),(N16+P5))            )</f>
        <v>149</v>
      </c>
      <c r="Q16" s="67"/>
      <c r="R16" s="67">
        <f t="shared" ref="R16" si="43">IF(R4=10,          IF(T4=10,(P16+R4+T4+V4),     (P16+R5+T5)        ),             IF((R4+S4=10),(P16+R4+S4+T4),(P16+R5))            )</f>
        <v>165</v>
      </c>
      <c r="S16" s="67"/>
      <c r="T16" s="68">
        <f>IF(T4=10,          IF(U4=10,(R16+T4+U4+V4),     (R7+T4+U4)        ),             IF((T4+U4=10),(R16+T4+U4+V4),(R16+T4+U4))            )</f>
        <v>174</v>
      </c>
      <c r="U16" s="69"/>
      <c r="V16" s="70"/>
    </row>
  </sheetData>
  <mergeCells count="60">
    <mergeCell ref="N3:O3"/>
    <mergeCell ref="P3:Q3"/>
    <mergeCell ref="R3:S3"/>
    <mergeCell ref="T3:V3"/>
    <mergeCell ref="B5:C5"/>
    <mergeCell ref="D5:E5"/>
    <mergeCell ref="F5:G5"/>
    <mergeCell ref="H5:I5"/>
    <mergeCell ref="J5:K5"/>
    <mergeCell ref="B3:C3"/>
    <mergeCell ref="D3:E3"/>
    <mergeCell ref="F3:G3"/>
    <mergeCell ref="H3:I3"/>
    <mergeCell ref="J3:K3"/>
    <mergeCell ref="L3:M3"/>
    <mergeCell ref="L5:M5"/>
    <mergeCell ref="N5:O5"/>
    <mergeCell ref="P5:Q5"/>
    <mergeCell ref="R5:S5"/>
    <mergeCell ref="T5:V5"/>
    <mergeCell ref="L16:M16"/>
    <mergeCell ref="L14:M14"/>
    <mergeCell ref="L6:M6"/>
    <mergeCell ref="N14:O14"/>
    <mergeCell ref="P14:Q14"/>
    <mergeCell ref="R14:S14"/>
    <mergeCell ref="T14:V14"/>
    <mergeCell ref="N6:O6"/>
    <mergeCell ref="P6:Q6"/>
    <mergeCell ref="R6:S6"/>
    <mergeCell ref="T6:V6"/>
    <mergeCell ref="N16:O16"/>
    <mergeCell ref="B14:C14"/>
    <mergeCell ref="D14:E14"/>
    <mergeCell ref="F14:G14"/>
    <mergeCell ref="H14:I14"/>
    <mergeCell ref="J14:K14"/>
    <mergeCell ref="B16:C16"/>
    <mergeCell ref="D16:E16"/>
    <mergeCell ref="F16:G16"/>
    <mergeCell ref="H16:I16"/>
    <mergeCell ref="J16:K16"/>
    <mergeCell ref="B6:C6"/>
    <mergeCell ref="D6:E6"/>
    <mergeCell ref="F6:G6"/>
    <mergeCell ref="H6:I6"/>
    <mergeCell ref="J6:K6"/>
    <mergeCell ref="P16:Q16"/>
    <mergeCell ref="R16:S16"/>
    <mergeCell ref="T16:V16"/>
    <mergeCell ref="N7:O7"/>
    <mergeCell ref="P7:Q7"/>
    <mergeCell ref="R7:S7"/>
    <mergeCell ref="T7:V7"/>
    <mergeCell ref="L7:M7"/>
    <mergeCell ref="B7:C7"/>
    <mergeCell ref="D7:E7"/>
    <mergeCell ref="F7:G7"/>
    <mergeCell ref="H7:I7"/>
    <mergeCell ref="J7:K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保齡球分數統計</vt:lpstr>
      <vt:lpstr>圖表</vt:lpstr>
      <vt:lpstr>保齡球計分模式_ver1.00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</dc:creator>
  <cp:lastModifiedBy>大塚-陳威中 Weichung</cp:lastModifiedBy>
  <dcterms:created xsi:type="dcterms:W3CDTF">2020-09-11T00:58:33Z</dcterms:created>
  <dcterms:modified xsi:type="dcterms:W3CDTF">2026-10-19T08:57:13Z</dcterms:modified>
</cp:coreProperties>
</file>